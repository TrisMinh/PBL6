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st Cases" sheetId="2" state="visible" r:id="rId4"/>
    <sheet name="Test Statistics" sheetId="3" state="visible" r:id="rId5"/>
    <sheet name="Auth_Service" sheetId="4" state="visible" r:id="rId6"/>
    <sheet name="Trip_Service" sheetId="5" state="visible" r:id="rId7"/>
    <sheet name="Booking_Service" sheetId="6" state="visible" r:id="rId8"/>
    <sheet name="Payment_Service" sheetId="7" state="visible" r:id="rId9"/>
    <sheet name="Notification_Service" sheetId="8" state="visible" r:id="rId10"/>
    <sheet name="Report_Service" sheetId="9" state="visible" r:id="rId11"/>
  </sheets>
  <definedNames>
    <definedName function="false" hidden="false" name="ACTION" vbProcedure="false">#REF!</definedName>
    <definedName function="false" hidden="false" localSheetId="0" name="ACTIO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<sst xmlns="http://schemas.openxmlformats.org/spreadsheetml/2006/main" count="1633" uniqueCount="844">
  <si>
    <t xml:space="preserve">TEST REPORT DOCUMENT</t>
  </si>
  <si>
    <t xml:space="preserve">Project Name</t>
  </si>
  <si>
    <t xml:space="preserve">Xây dựng nền tảng đặt vé xe trực tuyến theo kiến trúc Microservices</t>
  </si>
  <si>
    <t xml:space="preserve">Creator</t>
  </si>
  <si>
    <t xml:space="preserve">Nhóm PBL6 – 23NH11</t>
  </si>
  <si>
    <t xml:space="preserve">Project Code</t>
  </si>
  <si>
    <t xml:space="preserve">PBL6</t>
  </si>
  <si>
    <t xml:space="preserve">Issue Date</t>
  </si>
  <si>
    <t xml:space="preserve">Document Code</t>
  </si>
  <si>
    <t xml:space="preserve">Version</t>
  </si>
  <si>
    <t xml:space="preserve">1.1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</si>
  <si>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</si>
  <si>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</si>
  <si>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</si>
  <si>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</si>
  <si>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</si>
  <si>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</si>
  <si>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1.0</t>
  </si>
  <si>
    <t xml:space="preserve">Toàn bộ tài liệu</t>
  </si>
  <si>
    <t xml:space="preserve">A</t>
  </si>
  <si>
    <t xml:space="preserve">Tạo mới báo cáo kiểm thử API (Postman): 152 test case / 11 module, xây dựng từ SRS PBL6.</t>
  </si>
  <si>
    <t xml:space="preserve">SRS-PBL6.docx (mục 3.8–3.14, 5, 6, 7.4–7.5, 10, 11.1)</t>
  </si>
  <si>
    <t xml:space="preserve">Cấu trúc workbook</t>
  </si>
  <si>
    <t xml:space="preserve">M</t>
  </si>
  <si>
    <t xml:space="preserve">Gộp 11 sheet module (F1–F11) thành 6 sheet theo service (Auth, Trip, Booking, Payment, Notification, Report); cập nhật Test Cases và Test Statistics. Giữ nguyên 152 test case và Test Case ID.</t>
  </si>
  <si>
    <t xml:space="preserve">SRS-PBL6.docx (kiến trúc Microservices)</t>
  </si>
  <si>
    <t xml:space="preserve">TEST CASE LIST</t>
  </si>
  <si>
    <t xml:space="preserve">Test Environment Setup Description</t>
  </si>
  <si>
    <t xml:space="preserve">1. Server: Backend Microservices (Auth, Trip, Booking, Payment, Notification, Report) chạy qua API Gateway, HTTPS, JSON UTF-8
2. Database: CSDL của từng service; dữ liệu test tách theo nhà xe A/B, không dùng dữ liệu thật
3. Công cụ: Postman (Collection + Environment + Collection Runner), Newman để chạy CLI/CI
4. Tài khoản test: Customer 1/2, Operator Staff A/B, Finance Staff A, Driver (được/không được phân công), Admin
5. Cổng thanh toán sandbox/mock gửi được webhook (đúng/sai chữ ký, sai số tiền, lặp, đến trễ); Notification Provider mock (giả lập được lỗi)
6. Biến môi trường: baseUrl, accessToken, refreshToken, tripId, seatIds, holdId, bookingId, paymentId, ticketId
Lưu ý: SRS (mục 7.4) để chi tiết endpoint trong OpenAPI riêng, nên đường dẫn endpoint trong các test case là đường dẫn giả định theo nghiệp vụ; cần đối chiếu và chỉnh theo OpenAPI thực tế.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</si>
  <si>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</si>
  <si>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</si>
  <si>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</si>
  <si>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</si>
  <si>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</si>
  <si>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Đăng ký &amp; kích hoạt tài khoản</t>
  </si>
  <si>
    <t xml:space="preserve">Auth_Service</t>
  </si>
  <si>
    <t xml:space="preserve">FR-IAM-001/002; AC-AUTH-001/003/004  (7 TC)</t>
  </si>
  <si>
    <t xml:space="preserve">Chưa có tài khoản với email/SĐT test.</t>
  </si>
  <si>
    <t xml:space="preserve">Đăng nhập</t>
  </si>
  <si>
    <t xml:space="preserve">FR-IAM-003/007; AC-AUTH-005/006; NFR-SEC-005  (5 TC)</t>
  </si>
  <si>
    <t xml:space="preserve">Có tài khoản active.</t>
  </si>
  <si>
    <t xml:space="preserve">Refresh phiên &amp; đăng xuất</t>
  </si>
  <si>
    <t xml:space="preserve">FR-IAM-004; AC-AUTH-007/008; NFR-SEC-003  (3 TC)</t>
  </si>
  <si>
    <t xml:space="preserve">Đã đăng nhập, có refreshToken.</t>
  </si>
  <si>
    <t xml:space="preserve">Quên &amp; đặt lại mật khẩu</t>
  </si>
  <si>
    <t xml:space="preserve">FR-IAM-005; AC-AUTH-009  (3 TC)</t>
  </si>
  <si>
    <t xml:space="preserve">-</t>
  </si>
  <si>
    <t xml:space="preserve">Hồ sơ cá nhân</t>
  </si>
  <si>
    <t xml:space="preserve">FR-IAM-006; AC-PROFILE-001  (4 TC)</t>
  </si>
  <si>
    <t xml:space="preserve">Customer đã đăng nhập (có accessToken).</t>
  </si>
  <si>
    <t xml:space="preserve">Quản lý người dùng &amp; tổ chức</t>
  </si>
  <si>
    <t xml:space="preserve">FR-IAM-008/009; FR-ADMIN-001; AC-ADMIN-001/002  (5 TC)</t>
  </si>
  <si>
    <t xml:space="preserve">Admin đã đăng nhập.</t>
  </si>
  <si>
    <t xml:space="preserve">Hợp đồng API chung</t>
  </si>
  <si>
    <t xml:space="preserve">SRS §7.4, §7.5, BR-BOOK-006, BR-DATA-002  (5 TC)</t>
  </si>
  <si>
    <t xml:space="preserve">Có Postman Environment hợp lệ.</t>
  </si>
  <si>
    <t xml:space="preserve">Bảo mật API</t>
  </si>
  <si>
    <t xml:space="preserve">AUTHZ-001..005; NFR-SEC-004/007; AC-SEC-001/002  (6 TC)</t>
  </si>
  <si>
    <t xml:space="preserve">Tìm kiếm chuyến xe</t>
  </si>
  <si>
    <t xml:space="preserve">Trip_Service</t>
  </si>
  <si>
    <t xml:space="preserve">FR-SEARCH-001/002; AC-SEARCH-001/003  (4 TC)</t>
  </si>
  <si>
    <t xml:space="preserve">Có dữ liệu chuyến xe gồm cả chuyến còn bán và không còn bán.</t>
  </si>
  <si>
    <t xml:space="preserve">Lọc, sắp xếp &amp; phân trang</t>
  </si>
  <si>
    <t xml:space="preserve">FR-SEARCH-003/004; AC-SEARCH-002  (4 TC)</t>
  </si>
  <si>
    <t xml:space="preserve">Có nhiều chuyến phù hợp cùng tuyến.</t>
  </si>
  <si>
    <t xml:space="preserve">Chi tiết chuyến xe &amp; ghế trống</t>
  </si>
  <si>
    <t xml:space="preserve">FR-SEARCH-005/006; NFR-SEC-007  (4 TC)</t>
  </si>
  <si>
    <t xml:space="preserve">Có chuyến T1.</t>
  </si>
  <si>
    <t xml:space="preserve">Thông tin nhà xe</t>
  </si>
  <si>
    <t xml:space="preserve">FR-OPS-001/011; BR-TENANT-002; AC-AUTH-002  (3 TC)</t>
  </si>
  <si>
    <t xml:space="preserve">Operator Staff của nhà xe A đã đăng nhập.</t>
  </si>
  <si>
    <t xml:space="preserve">Xe &amp; sơ đồ ghế</t>
  </si>
  <si>
    <t xml:space="preserve">FR-OPS-002/009; AC-OPS-001/002  (3 TC)</t>
  </si>
  <si>
    <t xml:space="preserve">Tài xế</t>
  </si>
  <si>
    <t xml:space="preserve">FR-OPS-003; BR-DATA-004  (2 TC)</t>
  </si>
  <si>
    <t xml:space="preserve">Tuyến &amp; điểm dừng</t>
  </si>
  <si>
    <t xml:space="preserve">FR-OPS-004/009  (3 TC)</t>
  </si>
  <si>
    <t xml:space="preserve">Tạo &amp; công bố chuyến</t>
  </si>
  <si>
    <t xml:space="preserve">FR-OPS-005/006; BR-TRIP-001/002; AC-OPS-003/004  (6 TC)</t>
  </si>
  <si>
    <t xml:space="preserve">Operator Staff của nhà xe A đã đăng nhập. Có xe, tài xế, tuyến hợp lệ.</t>
  </si>
  <si>
    <t xml:space="preserve">Vận hành chuyến &amp; danh sách hành khách</t>
  </si>
  <si>
    <t xml:space="preserve">FR-OPS-007/010; FR-BOOK-011; BR-TRIP-003; AC-OPS-005/006  (5 TC)</t>
  </si>
  <si>
    <t xml:space="preserve">Driver được phân công chuyến T1 đã đăng nhập.</t>
  </si>
  <si>
    <t xml:space="preserve">Hủy chuyến xe</t>
  </si>
  <si>
    <t xml:space="preserve">FR-OPS-008; BR-TRIP-004/006; AC-TRIP-001/002  (3 TC)</t>
  </si>
  <si>
    <t xml:space="preserve">Operator Staff của nhà xe A đã đăng nhập. Chuyến T1 đã có vé PREPAID và PAY_LATER.</t>
  </si>
  <si>
    <t xml:space="preserve">Xem ghế &amp; giữ ghế (SeatHold)</t>
  </si>
  <si>
    <t xml:space="preserve">Booking_Service</t>
  </si>
  <si>
    <t xml:space="preserve">FR-BOOK-001..003/007; BR-SEAT; AC-SEAT-001/002  (9 TC)</t>
  </si>
  <si>
    <t xml:space="preserve">Customer đã đăng nhập (có accessToken). Có chuyến T1 đang mở bán, còn ghế AVAILABLE.</t>
  </si>
  <si>
    <t xml:space="preserve">Tạo đơn đặt chỗ (Booking)</t>
  </si>
  <si>
    <t xml:space="preserve">FR-BOOK-004..006/012; BR-BOOK-002..012; AC-SEAT-003; AC-BOOK-001..004/006/007  (12 TC)</t>
  </si>
  <si>
    <t xml:space="preserve">Customer đã đăng nhập (có accessToken). Có SeatHold ACTIVE.</t>
  </si>
  <si>
    <t xml:space="preserve">Xem đơn đặt chỗ của tôi</t>
  </si>
  <si>
    <t xml:space="preserve">FR-BOOK-008; AC-BOOK-005  (3 TC)</t>
  </si>
  <si>
    <t xml:space="preserve">Hủy vé &amp; hoàn tiền</t>
  </si>
  <si>
    <t xml:space="preserve">FR-BOOK-009; FR-PAY-008/011; AC-CANCEL-001..004; AC-PAY-009  (9 TC)</t>
  </si>
  <si>
    <t xml:space="preserve">Customer đã đăng nhập (có accessToken). Có booking PREPAID đã PAID, vé ISSUED.</t>
  </si>
  <si>
    <t xml:space="preserve">Đổi vé (SHOULD)</t>
  </si>
  <si>
    <t xml:space="preserve">FR-BOOK-010; BR-CANCEL-006/007; AC-CHANGE-001/002  (3 TC)</t>
  </si>
  <si>
    <t xml:space="preserve">Xem vé điện tử</t>
  </si>
  <si>
    <t xml:space="preserve">FR-TICKET-001..003; AC-TICKET-001/002; BR-TICKET-001  (4 TC)</t>
  </si>
  <si>
    <t xml:space="preserve">Check-in hành khách</t>
  </si>
  <si>
    <t xml:space="preserve">FR-TICKET-004..006; BR-TICKET-002/003; AC-TICKET-003..005; AC-OPS-005  (6 TC)</t>
  </si>
  <si>
    <t xml:space="preserve">Driver được phân công chuyến T1 đã đăng nhập. Có vé ISSUED của T1.</t>
  </si>
  <si>
    <t xml:space="preserve">Khuyến mãi (SHOULD)</t>
  </si>
  <si>
    <t xml:space="preserve">FR-PROMO-001/002; AC-PROMO-001/002  (4 TC)</t>
  </si>
  <si>
    <t xml:space="preserve">Đánh giá (SHOULD)</t>
  </si>
  <si>
    <t xml:space="preserve">FR-REVIEW-001/002; BR-REVIEW-001/002; AC-REVIEW-001..003  (4 TC)</t>
  </si>
  <si>
    <t xml:space="preserve">Tạo yêu cầu thanh toán</t>
  </si>
  <si>
    <t xml:space="preserve">Payment_Service</t>
  </si>
  <si>
    <t xml:space="preserve">FR-PAY-001/002; AC-PAY-007  (4 TC)</t>
  </si>
  <si>
    <t xml:space="preserve">Webhook thanh toán</t>
  </si>
  <si>
    <t xml:space="preserve">FR-PAY-003..007; BR-PAY-002..006/010; AC-PAY-001..006  (7 TC)</t>
  </si>
  <si>
    <t xml:space="preserve">Có payment PROCESSING; cổng sandbox/mock gửi được webhook.</t>
  </si>
  <si>
    <t xml:space="preserve">Settlement &amp; dữ liệu nhạy cảm</t>
  </si>
  <si>
    <t xml:space="preserve">FR-PAY-012/013; BR-PAY-009/012; AC-PAY-008  (2 TC)</t>
  </si>
  <si>
    <t xml:space="preserve">Thông báo</t>
  </si>
  <si>
    <t xml:space="preserve">Notification_Service</t>
  </si>
  <si>
    <t xml:space="preserve">FR-NOTIF-001..003; AC-NOTIF-001/002  (3 TC)</t>
  </si>
  <si>
    <t xml:space="preserve">Tra cứu giao dịch, kiểm toán &amp; khiếu nại</t>
  </si>
  <si>
    <t xml:space="preserve">Report_Service</t>
  </si>
  <si>
    <t xml:space="preserve">FR-ADMIN-002/003; BR-AUDIT-001/002; AC-ADMIN-003/004  (3 TC)</t>
  </si>
  <si>
    <t xml:space="preserve">Báo cáo &amp; xuất dữ liệu</t>
  </si>
  <si>
    <t xml:space="preserve">FR-REPORT-001..003; AC-REPORT-001/002  (4 TC)</t>
  </si>
  <si>
    <t xml:space="preserve">TEST STATISTICS</t>
  </si>
  <si>
    <t xml:space="preserve">Reviewer/Approver</t>
  </si>
  <si>
    <t xml:space="preserve">Notes</t>
  </si>
  <si>
    <t xml:space="preserve">Release 1 gồm 6 service kiểm thử API bằng Postman (152 test case): Auth Service – xác thực, hồ sơ, quản lý người dùng &amp; tổ chức, hợp đồng API chung &amp; bảo mật API; Trip Service – tìm kiếm &amp; xem chuyến xe, quản lý nhà xe (xe, tài xế, tuyến), tạo/công bố/vận hành/hủy chuyến; Booking Service – giữ ghế &amp; đặt chỗ, hủy vé/hoàn tiền/đổi vé, vé điện tử &amp; check-in, khuyến mãi, đánh giá; Payment Service – thanh toán, webhook, settlement; Notification Service – thông báo; Report Service – tra cứu giao dịch, kiểm toán, khiếu nại, báo cáo &amp; xuất dữ liệu. Kết quả Round 1–3 hiện ở trạng thái Pending, chưa thực thi.</t>
  </si>
  <si>
    <t xml:space="preserve">Module code</t>
  </si>
  <si>
    <t xml:space="preserve">Passed</t>
  </si>
  <si>
    <t xml:space="preserve">Failed</t>
  </si>
  <si>
    <t xml:space="preserve">Pending</t>
  </si>
  <si>
    <t xml:space="preserve">N/A</t>
  </si>
  <si>
    <t xml:space="preserve">Number of  test cases</t>
  </si>
  <si>
    <t xml:space="preserve">Sub total</t>
  </si>
  <si>
    <t xml:space="preserve">Test coverage</t>
  </si>
  <si>
    <t xml:space="preserve">%</t>
  </si>
  <si>
    <t xml:space="preserve">Test successful coverage</t>
  </si>
  <si>
    <t xml:space="preserve">Feature</t>
  </si>
  <si>
    <t xml:space="preserve">Auth Service</t>
  </si>
  <si>
    <t xml:space="preserve">Test requirement</t>
  </si>
  <si>
    <t xml:space="preserve">FR-IAM-001..009, FR-ADMIN-001, AC-AUTH-001..009, AC-PROFILE-001, AC-ADMIN-001/002, AC-SEC-001/002, AUTHZ-001..008, NFR-SEC-003..007, SRS §7.4–7.5, §11.1: đăng ký, kích hoạt, đăng nhập, refresh/đăng xuất, quên mật khẩu, hồ sơ, quản lý người dùng &amp; tổ chức, hợp đồng API chung và bảo mật API.</t>
  </si>
  <si>
    <t xml:space="preserve">Number of TCs</t>
  </si>
  <si>
    <t xml:space="preserve">Testing Round</t>
  </si>
  <si>
    <t xml:space="preserve">Round 1</t>
  </si>
  <si>
    <t xml:space="preserve">Round 2</t>
  </si>
  <si>
    <t xml:space="preserve">Round 3</t>
  </si>
  <si>
    <t xml:space="preserve">Test Case ID</t>
  </si>
  <si>
    <t xml:space="preserve">Test Case Description</t>
  </si>
  <si>
    <t xml:space="preserve">Test Case Procedure</t>
  </si>
  <si>
    <t xml:space="preserve">Expected Results</t>
  </si>
  <si>
    <t xml:space="preserve">Pre-conditions</t>
  </si>
  <si>
    <t xml:space="preserve">Test date</t>
  </si>
  <si>
    <t xml:space="preserve">Tester</t>
  </si>
  <si>
    <t xml:space="preserve">Note</t>
  </si>
  <si>
    <t xml:space="preserve">AUTH-01</t>
  </si>
  <si>
    <t xml:space="preserve">Đăng ký tài khoản hợp lệ</t>
  </si>
  <si>
    <t xml:space="preserve">1. POST /auth/register {fullName, email, phone, password hợp lệ}
2. Kiểm tra status + body</t>
  </si>
  <si>
    <t xml:space="preserve">201 Created; user ở trạng thái chưa kích hoạt; hệ thống gửi OTP/email xác minh; body không chứa mật khẩu.</t>
  </si>
  <si>
    <t xml:space="preserve">Email/SĐT chưa tồn tại.</t>
  </si>
  <si>
    <t xml:space="preserve">AUTH-02</t>
  </si>
  <si>
    <t xml:space="preserve">Đăng ký với email đã thuộc tài khoản đang hoạt động</t>
  </si>
  <si>
    <t xml:space="preserve">1. POST /auth/register với email đã tồn tại
2. Kiểm tra DB/API số user theo email</t>
  </si>
  <si>
    <t xml:space="preserve">Bị từ chối bằng lỗi 4xx an toàn; không tạo user thứ hai (AC-AUTH-001).</t>
  </si>
  <si>
    <t xml:space="preserve">Email đã thuộc tài khoản active.</t>
  </si>
  <si>
    <t xml:space="preserve">AUTH-03</t>
  </si>
  <si>
    <t xml:space="preserve">Đăng ký với số điện thoại đã tồn tại</t>
  </si>
  <si>
    <t xml:space="preserve">1. POST /auth/register với phone đã tồn tại</t>
  </si>
  <si>
    <t xml:space="preserve">Bị từ chối bằng lỗi 4xx an toàn; không tạo user thứ hai.</t>
  </si>
  <si>
    <t xml:space="preserve">SĐT đã thuộc tài khoản active.</t>
  </si>
  <si>
    <t xml:space="preserve">AUTH-04</t>
  </si>
  <si>
    <t xml:space="preserve">Đăng ký với dữ liệu không hợp lệ</t>
  </si>
  <si>
    <t xml:space="preserve">1. POST /auth/register lần lượt: thiếu trường bắt buộc / email sai định dạng / SĐT sai / mật khẩu yếu (data-driven bằng Collection Runner)</t>
  </si>
  <si>
    <t xml:space="preserve">400 VALIDATION_ERROR; details liệt kê field lỗi + lý do an toàn; không tạo user.</t>
  </si>
  <si>
    <t xml:space="preserve">AUTH-05</t>
  </si>
  <si>
    <t xml:space="preserve">Xác minh bằng OTP/token đúng</t>
  </si>
  <si>
    <t xml:space="preserve">1. Đăng ký tài khoản
2. POST /auth/verify {identifier, otp đúng}
3. POST /auth/login</t>
  </si>
  <si>
    <t xml:space="preserve">Xác minh thành công; user được kích hoạt và đăng nhập được (AC-AUTH-003).</t>
  </si>
  <si>
    <t xml:space="preserve">Có tài khoản vừa đăng ký, chưa kích hoạt.</t>
  </si>
  <si>
    <t xml:space="preserve">AUTH-06</t>
  </si>
  <si>
    <t xml:space="preserve">Xác minh bằng OTP sai / hết hạn</t>
  </si>
  <si>
    <t xml:space="preserve">1. POST /auth/verify với OTP sai
2. POST /auth/verify với OTP đã hết hạn
3. POST /auth/login</t>
  </si>
  <si>
    <t xml:space="preserve">Trả lỗi; user vẫn chưa hoạt động, không đăng nhập được; cho phép gửi lại OTP theo giới hạn (AC-AUTH-004).</t>
  </si>
  <si>
    <t xml:space="preserve">Có tài khoản chưa kích hoạt.</t>
  </si>
  <si>
    <t xml:space="preserve">AUTH-07</t>
  </si>
  <si>
    <t xml:space="preserve">Gửi lại OTP vượt giới hạn tần suất</t>
  </si>
  <si>
    <t xml:space="preserve">1. POST /auth/resend-otp liên tiếp vượt ngưỡng cấu hình</t>
  </si>
  <si>
    <t xml:space="preserve">429 RATE_LIMITED kèm header Retry-After (NFR-SEC-004).</t>
  </si>
  <si>
    <t xml:space="preserve">AUTH-08</t>
  </si>
  <si>
    <t xml:space="preserve">Đăng nhập bằng email đúng</t>
  </si>
  <si>
    <t xml:space="preserve">1. POST /auth/login {email, password đúng}
2. Giải mã accessToken</t>
  </si>
  <si>
    <t xml:space="preserve">200; trả accessToken + refreshToken; token chứa đúng vai trò và phạm vi nhà xe (AC-AUTH-005).</t>
  </si>
  <si>
    <t xml:space="preserve">Tài khoản active.</t>
  </si>
  <si>
    <t xml:space="preserve">AUTH-09</t>
  </si>
  <si>
    <t xml:space="preserve">Đăng nhập bằng số điện thoại đúng</t>
  </si>
  <si>
    <t xml:space="preserve">1. POST /auth/login {phone, password đúng}</t>
  </si>
  <si>
    <t xml:space="preserve">200; trả accessToken + refreshToken.</t>
  </si>
  <si>
    <t xml:space="preserve">AUTH-10</t>
  </si>
  <si>
    <t xml:space="preserve">Đăng nhập sai mật khẩu</t>
  </si>
  <si>
    <t xml:space="preserve">1. POST /auth/login {email, password sai}</t>
  </si>
  <si>
    <t xml:space="preserve">401; không cấp token; thông báo lỗi không lộ thông tin nhạy cảm.</t>
  </si>
  <si>
    <t xml:space="preserve">AUTH-11</t>
  </si>
  <si>
    <t xml:space="preserve">Đăng nhập tài khoản chưa kích hoạt / bị khóa</t>
  </si>
  <si>
    <t xml:space="preserve">1. POST /auth/login với tài khoản chưa kích hoạt
2. POST /auth/login với tài khoản bị Admin khóa</t>
  </si>
  <si>
    <t xml:space="preserve">Bị từ chối; không cấp token.</t>
  </si>
  <si>
    <t xml:space="preserve">Có tài khoản chưa kích hoạt và tài khoản bị khóa.</t>
  </si>
  <si>
    <t xml:space="preserve">AUTH-12</t>
  </si>
  <si>
    <t xml:space="preserve">Đăng nhập sai liên tiếp vượt ngưỡng (5 lần)</t>
  </si>
  <si>
    <t xml:space="preserve">1. POST /auth/login sai mật khẩu 5 lần liên tiếp
2. POST /auth/login lần 6 với mật khẩu đúng</t>
  </si>
  <si>
    <t xml:space="preserve">Tài khoản/định danh bị khóa hoặc làm chậm tối thiểu 15 phút; có nhật ký kiểm toán bảo mật (NFR-SEC-005, AC-AUTH-006).</t>
  </si>
  <si>
    <t xml:space="preserve">Tài khoản active, chưa bị khóa.</t>
  </si>
  <si>
    <t xml:space="preserve">AUTH-13</t>
  </si>
  <si>
    <t xml:space="preserve">Refresh token hợp lệ (xoay vòng)</t>
  </si>
  <si>
    <t xml:space="preserve">1. POST /auth/refresh {refreshToken}
2. Dùng lại refreshToken cũ để refresh lần nữa</t>
  </si>
  <si>
    <t xml:space="preserve">Lần 1: cấp token mới. Lần 2: refresh token cũ bị từ chối (AC-AUTH-007).</t>
  </si>
  <si>
    <t xml:space="preserve">Có refreshToken hợp lệ.</t>
  </si>
  <si>
    <t xml:space="preserve">AUTH-14</t>
  </si>
  <si>
    <t xml:space="preserve">Đăng xuất thu hồi refresh token</t>
  </si>
  <si>
    <t xml:space="preserve">1. POST /auth/logout
2. POST /auth/refresh bằng refreshToken vừa bị thu hồi</t>
  </si>
  <si>
    <t xml:space="preserve">Đăng xuất thành công; refresh bằng token đã thu hồi bị từ chối, không cấp phiên mới (AC-AUTH-008).</t>
  </si>
  <si>
    <t xml:space="preserve">Đã đăng nhập.</t>
  </si>
  <si>
    <t xml:space="preserve">AUTH-15</t>
  </si>
  <si>
    <t xml:space="preserve">Gọi API bảo vệ khi không có / hết hạn accessToken</t>
  </si>
  <si>
    <t xml:space="preserve">1. GET /profile không gửi token
2. GET /profile với accessToken đã hết hạn (&gt;15 phút)</t>
  </si>
  <si>
    <t xml:space="preserve">401 AUTHENTICATION_REQUIRED (NFR-SEC-003, AUTHZ-001).</t>
  </si>
  <si>
    <t xml:space="preserve">Có accessToken hết hạn.</t>
  </si>
  <si>
    <t xml:space="preserve">AUTH-16</t>
  </si>
  <si>
    <t xml:space="preserve">Yêu cầu reset mật khẩu không lộ việc tài khoản tồn tại</t>
  </si>
  <si>
    <t xml:space="preserve">1. POST /auth/forgot-password với email tồn tại
2. POST /auth/forgot-password với email không tồn tại
3. So sánh status + body 2 phản hồi</t>
  </si>
  <si>
    <t xml:space="preserve">Hai phản hồi giống nhau về status và nội dung, không tiết lộ tài khoản có tồn tại hay không (AC-AUTH-009).</t>
  </si>
  <si>
    <t xml:space="preserve">1 email đã đăng ký, 1 email chưa đăng ký.</t>
  </si>
  <si>
    <t xml:space="preserve">AUTH-17</t>
  </si>
  <si>
    <t xml:space="preserve">Đặt lại mật khẩu bằng token/OTP hợp lệ</t>
  </si>
  <si>
    <t xml:space="preserve">1. POST /auth/reset-password {token/otp hợp lệ, newPassword}
2. Đăng nhập bằng mật khẩu mới và mật khẩu cũ</t>
  </si>
  <si>
    <t xml:space="preserve">Đổi mật khẩu thành công; mật khẩu mới đăng nhập được, mật khẩu cũ bị từ chối.</t>
  </si>
  <si>
    <t xml:space="preserve">Đã yêu cầu reset, có token/OTP còn hạn.</t>
  </si>
  <si>
    <t xml:space="preserve">AUTH-18</t>
  </si>
  <si>
    <t xml:space="preserve">Đặt lại mật khẩu bằng token/OTP sai hoặc hết hạn</t>
  </si>
  <si>
    <t xml:space="preserve">1. POST /auth/reset-password với token sai
2. POST /auth/reset-password với token hết hạn</t>
  </si>
  <si>
    <t xml:space="preserve">Bị từ chối; mật khẩu không thay đổi.</t>
  </si>
  <si>
    <t xml:space="preserve">PRF-01</t>
  </si>
  <si>
    <t xml:space="preserve">Xem hồ sơ của chính mình</t>
  </si>
  <si>
    <t xml:space="preserve">1. GET /profile</t>
  </si>
  <si>
    <t xml:space="preserve">200; trả thông tin hồ sơ của đúng người dùng đang đăng nhập; không có mật khẩu/hash.</t>
  </si>
  <si>
    <t xml:space="preserve">PRF-02</t>
  </si>
  <si>
    <t xml:space="preserve">Cập nhật họ tên</t>
  </si>
  <si>
    <t xml:space="preserve">1. PUT /profile {fullName mới}
2. GET /profile</t>
  </si>
  <si>
    <t xml:space="preserve">200; họ tên được cập nhật.</t>
  </si>
  <si>
    <t xml:space="preserve">PRF-03</t>
  </si>
  <si>
    <t xml:space="preserve">Đổi email/SĐT phải xác minh lại</t>
  </si>
  <si>
    <t xml:space="preserve">1. PUT /profile {email mới}
2. GET /profile trước khi xác minh</t>
  </si>
  <si>
    <t xml:space="preserve">Email mới chỉ có hiệu lực sau khi xác minh; trước đó hồ sơ vẫn giữ email cũ (AC-PROFILE-001).</t>
  </si>
  <si>
    <t xml:space="preserve">PRF-04</t>
  </si>
  <si>
    <t xml:space="preserve">Xác minh email mới thất bại</t>
  </si>
  <si>
    <t xml:space="preserve">1. Đổi email
2. Xác minh với OTP sai
3. GET /profile</t>
  </si>
  <si>
    <t xml:space="preserve">Xác minh lỗi; giá trị cũ vẫn có hiệu lực (AC-PROFILE-001).</t>
  </si>
  <si>
    <t xml:space="preserve">ADM-01</t>
  </si>
  <si>
    <t xml:space="preserve">Khóa / mở khóa người dùng</t>
  </si>
  <si>
    <t xml:space="preserve">1. PATCH /admin/users/{id}/lock
2. Đăng nhập bằng user bị khóa
3. PATCH unlock, đăng nhập lại</t>
  </si>
  <si>
    <t xml:space="preserve">Bị khóa: không đăng nhập được, phiên bị thu hồi; mở khóa: đăng nhập được; có nhật ký kiểm toán.</t>
  </si>
  <si>
    <t xml:space="preserve">ADM-02</t>
  </si>
  <si>
    <t xml:space="preserve">Gán/bỏ vai trò và tư cách thành viên nhà xe</t>
  </si>
  <si>
    <t xml:space="preserve">1. POST /admin/users/{id}/roles
2. DELETE role
3. GET audit</t>
  </si>
  <si>
    <t xml:space="preserve">Thay đổi đúng phạm vi; phiên được thu hồi khi cần; có audit event (AC-ADMIN-001, AUTHZ-006).</t>
  </si>
  <si>
    <t xml:space="preserve">ADM-03</t>
  </si>
  <si>
    <t xml:space="preserve">Tạo tổ chức nhà xe và thành viên</t>
  </si>
  <si>
    <t xml:space="preserve">1. POST /admin/operators
2. POST /admin/operators/{id}/members (staff, driver)</t>
  </si>
  <si>
    <t xml:space="preserve">201; tổ chức và membership được tạo đúng (FR-IAM-009).</t>
  </si>
  <si>
    <t xml:space="preserve">ADM-04</t>
  </si>
  <si>
    <t xml:space="preserve">Gỡ quyền quản trị viên cuối cùng</t>
  </si>
  <si>
    <t xml:space="preserve">1. DELETE role ADMIN của admin duy nhất còn lại</t>
  </si>
  <si>
    <t xml:space="preserve">Bị từ chối; quyền giữ nguyên (AC-ADMIN-002).</t>
  </si>
  <si>
    <t xml:space="preserve">Hệ thống chỉ còn 1 Admin.</t>
  </si>
  <si>
    <t xml:space="preserve">ADM-05</t>
  </si>
  <si>
    <t xml:space="preserve">Người không phải Admin gọi API quản trị</t>
  </si>
  <si>
    <t xml:space="preserve">1. Customer/Operator Staff gọi POST /admin/users/{id}/lock</t>
  </si>
  <si>
    <t xml:space="preserve">403 ACCESS_DENIED; không thay đổi dữ liệu (AC-ADMIN-002, AUTHZ-002).</t>
  </si>
  <si>
    <t xml:space="preserve">CMN-01</t>
  </si>
  <si>
    <t xml:space="preserve">Cấu trúc phản hồi lỗi chuẩn</t>
  </si>
  <si>
    <t xml:space="preserve">1. Gây lỗi (400/401/403/404/409) trên nhiều API
2. Kiểm tra body</t>
  </si>
  <si>
    <t xml:space="preserve">Body lỗi có code ổn định, message an toàn, details đã lọc, correlationId; không có stack trace/SQL/tên bảng/thông tin bí mật.</t>
  </si>
  <si>
    <t xml:space="preserve">CMN-02</t>
  </si>
  <si>
    <t xml:space="preserve">Mã HTTP đúng ngữ nghĩa, không trả 200 cho lỗi nghiệp vụ</t>
  </si>
  <si>
    <t xml:space="preserve">1. Gây các lỗi nghiệp vụ trong Phụ lục 11.1 (SEAT_UNAVAILABLE, SEAT_HOLD_EXPIRED, BOOKING_EXPIRED, CANCELLATION_NOT_ALLOWED...)
2. Đối chiếu HTTP status và code</t>
  </si>
  <si>
    <t xml:space="preserve">HTTP status khớp bảng mã lỗi baseline (409/410/422/...); không có lỗi nghiệp vụ nào trả 200.</t>
  </si>
  <si>
    <t xml:space="preserve">CMN-03</t>
  </si>
  <si>
    <t xml:space="preserve">Correlation ID</t>
  </si>
  <si>
    <t xml:space="preserve">1. Gọi API không gửi X-Correlation-Id
2. Gọi API có gửi X-Correlation-Id</t>
  </si>
  <si>
    <t xml:space="preserve">Không gửi: server tự tạo mã. Có gửi: server giữ/ghi nhận mã đó trong phản hồi.</t>
  </si>
  <si>
    <t xml:space="preserve">CMN-04</t>
  </si>
  <si>
    <t xml:space="preserve">Lệnh quan trọng bắt buộc Idempotency-Key</t>
  </si>
  <si>
    <t xml:space="preserve">1. POST seat-holds, bookings, payments, cancel, refund... không gửi Idempotency-Key</t>
  </si>
  <si>
    <t xml:space="preserve">Bị từ chối (400) hoặc xử lý theo quy định bắt buộc idempotency (§7.4).</t>
  </si>
  <si>
    <t xml:space="preserve">CMN-05</t>
  </si>
  <si>
    <t xml:space="preserve">Định dạng thời gian và tiền VND</t>
  </si>
  <si>
    <t xml:space="preserve">1. Kiểm tra các trường thời gian và số tiền trong response booking/payment/trip</t>
  </si>
  <si>
    <t xml:space="preserve">Thời gian theo ISO-8601 có múi giờ; tiền VND là số nguyên/số thập phân chính xác, không có sai số float (BR-DATA-002, BR-BOOK-006).</t>
  </si>
  <si>
    <t xml:space="preserve">SEC-01</t>
  </si>
  <si>
    <t xml:space="preserve">Mọi endpoint không công khai yêu cầu token</t>
  </si>
  <si>
    <t xml:space="preserve">1. Chạy Collection Runner gọi toàn bộ endpoint bảo vệ không gửi token</t>
  </si>
  <si>
    <t xml:space="preserve">Tất cả trả 401 AUTHENTICATION_REQUIRED (AUTHZ-001).</t>
  </si>
  <si>
    <t xml:space="preserve">SEC-02</t>
  </si>
  <si>
    <t xml:space="preserve">Truy cập chéo vai trò / chéo nhà xe / chéo chủ sở hữu (IDOR)</t>
  </si>
  <si>
    <t xml:space="preserve">1. Customer gọi API Operator/Admin
2. Operator A gọi dữ liệu Operator B
3. Customer A gọi dữ liệu Customer B</t>
  </si>
  <si>
    <t xml:space="preserve">Tất cả bị từ chối (403/404), không lộ dữ liệu (AC-SEC-001, AUTHZ-002..004).</t>
  </si>
  <si>
    <t xml:space="preserve">Có tài khoản ở nhiều vai trò và nhiều nhà xe.</t>
  </si>
  <si>
    <t xml:space="preserve">SEC-03</t>
  </si>
  <si>
    <t xml:space="preserve">Token bị sửa đổi / sai chữ ký</t>
  </si>
  <si>
    <t xml:space="preserve">1. Sửa payload JWT (đổi role) giữ nguyên chữ ký
2. Gọi API protected</t>
  </si>
  <si>
    <t xml:space="preserve">401; không được cấp quyền cao hơn.</t>
  </si>
  <si>
    <t xml:space="preserve">SEC-04</t>
  </si>
  <si>
    <t xml:space="preserve">Giới hạn tần suất (rate limit) trên endpoint nhạy cảm</t>
  </si>
  <si>
    <t xml:space="preserve">1. Gọi liên tiếp /auth/login, /auth/forgot-password, /auth/resend-otp vượt ngưỡng</t>
  </si>
  <si>
    <t xml:space="preserve">429 RATE_LIMITED kèm Retry-After (NFR-SEC-004).</t>
  </si>
  <si>
    <t xml:space="preserve">SEC-05</t>
  </si>
  <si>
    <t xml:space="preserve">Chống SQL injection / XSS trên các trường nhập</t>
  </si>
  <si>
    <t xml:space="preserve">1. Gửi payload ' OR 1=1--, &lt;script&gt; vào các trường text của register, passenger, review, search</t>
  </si>
  <si>
    <t xml:space="preserve">Không lỗi 500/không lộ SQL; dữ liệu hiển thị được mã hóa (NFR-SEC-007).</t>
  </si>
  <si>
    <t xml:space="preserve">SEC-06</t>
  </si>
  <si>
    <t xml:space="preserve">Log không chứa dữ liệu nhạy cảm</t>
  </si>
  <si>
    <t xml:space="preserve">1. Thực hiện đăng nhập, thanh toán, tạo vé
2. Tra cứu log theo correlationId</t>
  </si>
  <si>
    <t xml:space="preserve">Log không có mật khẩu, OTP, token, PAN, CVV, giấy tờ tùy thân đầy đủ (AC-SEC-002, AC-OBS-001).</t>
  </si>
  <si>
    <t xml:space="preserve">Có quyền xem log hệ thống.</t>
  </si>
  <si>
    <t xml:space="preserve">Trip Service</t>
  </si>
  <si>
    <t xml:space="preserve">FR-SEARCH-001..006, FR-OPS-001..011, BR-TRIP-001..006, BR-TENANT-001/002, BR-DATA-004, AC-SEARCH-001..003, AC-OPS-001..006, AC-TRIP-001/002, AC-AUTH-002, NFR-SEC-007, trạng thái Trip (chương 6.7): tìm kiếm, chi tiết chuyến, quản lý nhà xe/xe/tài xế/tuyến, tạo - công bố - vận hành - hủy chuyến.</t>
  </si>
  <si>
    <t xml:space="preserve">SRCH-01</t>
  </si>
  <si>
    <t xml:space="preserve">Tìm chuyến hợp lệ (khách vãng lai, không token)</t>
  </si>
  <si>
    <t xml:space="preserve">1. GET /trips/search?from=&amp;to=&amp;date=&amp;passengers=1 (không gửi token)</t>
  </si>
  <si>
    <t xml:space="preserve">200; danh sách chuyến đúng điểm đi/đến/ngày; có phân trang và tổng số kết quả.</t>
  </si>
  <si>
    <t xml:space="preserve">Có chuyến phù hợp.</t>
  </si>
  <si>
    <t xml:space="preserve">SRCH-02</t>
  </si>
  <si>
    <t xml:space="preserve">Chuyến không còn bán không xuất hiện trong kết quả</t>
  </si>
  <si>
    <t xml:space="preserve">1. Tìm chuyến theo tuyến/ngày có chuyến CANCELLED/DEPARTED/đóng bán
2. Đối chiếu danh sách</t>
  </si>
  <si>
    <t xml:space="preserve">Chỉ trả các chuyến còn bán được; chuyến không còn bán không xuất hiện (AC-SEARCH-001).</t>
  </si>
  <si>
    <t xml:space="preserve">Có chuyến SCHEDULED và chuyến CANCELLED cùng tuyến.</t>
  </si>
  <si>
    <t xml:space="preserve">SRCH-03</t>
  </si>
  <si>
    <t xml:space="preserve">Tìm không có kết quả</t>
  </si>
  <si>
    <t xml:space="preserve">1. GET /trips/search với tuyến/ngày không có chuyến</t>
  </si>
  <si>
    <t xml:space="preserve">200; danh sách rỗng, total = 0; không trả lỗi hệ thống (AC-SEARCH-003).</t>
  </si>
  <si>
    <t xml:space="preserve">SRCH-04</t>
  </si>
  <si>
    <t xml:space="preserve">Tìm với tham số không hợp lệ</t>
  </si>
  <si>
    <t xml:space="preserve">1. GET /trips/search lần lượt: thiếu điểm đi/đến, ngày sai định dạng, passengers ≤ 0, điểm đi trùng điểm đến</t>
  </si>
  <si>
    <t xml:space="preserve">400 VALIDATION_ERROR kèm danh sách field lỗi.</t>
  </si>
  <si>
    <t xml:space="preserve">SRCH-05</t>
  </si>
  <si>
    <t xml:space="preserve">Lọc kết quả theo tiêu chí</t>
  </si>
  <si>
    <t xml:space="preserve">1. GET /trips/search kèm lần lượt: minPrice/maxPrice, giờ đi, operatorId, loại xe, điểm đón/trả, tiện nghi, đánh giá tối thiểu</t>
  </si>
  <si>
    <t xml:space="preserve">Mọi chuyến trả về đều thỏa tiêu chí lọc.</t>
  </si>
  <si>
    <t xml:space="preserve">Có nhiều chuyến phù hợp.</t>
  </si>
  <si>
    <t xml:space="preserve">SRCH-06</t>
  </si>
  <si>
    <t xml:space="preserve">Sắp xếp kết quả</t>
  </si>
  <si>
    <t xml:space="preserve">1. GET /trips/search?sort=price,asc|desc
2. Lặp với giờ khởi hành, thời lượng, đánh giá</t>
  </si>
  <si>
    <t xml:space="preserve">Danh sách đúng thứ tự theo tiêu chí và chiều sắp xếp.</t>
  </si>
  <si>
    <t xml:space="preserve">SRCH-07</t>
  </si>
  <si>
    <t xml:space="preserve">Phân trang</t>
  </si>
  <si>
    <t xml:space="preserve">1. GET /trips/search?page=1&amp;size=5
2. GET page=2
3. So sánh total, không trùng/thiếu phần tử</t>
  </si>
  <si>
    <t xml:space="preserve">Trả đúng số phần tử mỗi trang; có đủ thông tin phân trang (page, size, total); các trang không trùng nhau (AC-SEARCH-002).</t>
  </si>
  <si>
    <t xml:space="preserve">Có &gt; 10 chuyến phù hợp.</t>
  </si>
  <si>
    <t xml:space="preserve">SRCH-08</t>
  </si>
  <si>
    <t xml:space="preserve">Kích thước trang vượt giới hạn</t>
  </si>
  <si>
    <t xml:space="preserve">1. GET /trips/search?size=100000</t>
  </si>
  <si>
    <t xml:space="preserve">Bị giới hạn về mức tối đa cho phép hoặc trả 400; không trả toàn bộ dữ liệu (§7.4).</t>
  </si>
  <si>
    <t xml:space="preserve">SRCH-09</t>
  </si>
  <si>
    <t xml:space="preserve">Xem chi tiết chuyến xe</t>
  </si>
  <si>
    <t xml:space="preserve">1. GET /trips/{tripId}</t>
  </si>
  <si>
    <t xml:space="preserve">200; có nhà xe, lịch trình, xe, tiện nghi, điểm đón/trả, giá và bản chụp chính sách đang áp dụng.</t>
  </si>
  <si>
    <t xml:space="preserve">SRCH-10</t>
  </si>
  <si>
    <t xml:space="preserve">Xem chuyến không tồn tại</t>
  </si>
  <si>
    <t xml:space="preserve">1. GET /trips/{id không tồn tại}</t>
  </si>
  <si>
    <t xml:space="preserve">404 RESOURCE_NOT_FOUND; không có stack trace/thông tin hệ thống.</t>
  </si>
  <si>
    <t xml:space="preserve">SRCH-11</t>
  </si>
  <si>
    <t xml:space="preserve">Số ghế trống kèm thời điểm cập nhật</t>
  </si>
  <si>
    <t xml:space="preserve">1. GET /trips/{tripId}/seats
2. Đối chiếu số ghế AVAILABLE và trường thời điểm cập nhật</t>
  </si>
  <si>
    <t xml:space="preserve">Có số ghế trống và thời điểm cập nhật (FR-SEARCH-006).</t>
  </si>
  <si>
    <t xml:space="preserve">SRCH-12</t>
  </si>
  <si>
    <t xml:space="preserve">Tham số tìm kiếm chứa payload SQL injection/XSS</t>
  </si>
  <si>
    <t xml:space="preserve">1. GET /trips/search?from=' OR 1=1--
2. GET /trips/search?from=&lt;script&gt;alert(1)&lt;/script&gt;</t>
  </si>
  <si>
    <t xml:space="preserve">Không lỗi 500, không lộ lỗi SQL/tên bảng; dữ liệu trả về được mã hóa ký tự đặc biệt (NFR-SEC-007).</t>
  </si>
  <si>
    <t xml:space="preserve">OPS-01</t>
  </si>
  <si>
    <t xml:space="preserve">Cập nhật thông tin nhà xe, bật/tắt trả sau</t>
  </si>
  <si>
    <t xml:space="preserve">1. PUT /operators/me {payLaterEnabled:true}
2. GET /operators/me</t>
  </si>
  <si>
    <t xml:space="preserve">200; thông tin được cập nhật đúng; dữ liệu gắn với nhà xe A.</t>
  </si>
  <si>
    <t xml:space="preserve">OPS-02</t>
  </si>
  <si>
    <t xml:space="preserve">Nhà xe đổi tỷ lệ phí sàn qua API nhà xe</t>
  </si>
  <si>
    <t xml:space="preserve">1. PUT /operators/me {platformFeeRate:0}
2. GET /operators/me</t>
  </si>
  <si>
    <t xml:space="preserve">Bị từ chối hoặc bỏ qua; phí sàn không đổi (FR-OPS-011).</t>
  </si>
  <si>
    <t xml:space="preserve">OPS-03</t>
  </si>
  <si>
    <t xml:space="preserve">Nhân viên nhà xe A truy cập dữ liệu nhà xe B</t>
  </si>
  <si>
    <t xml:space="preserve">1. PUT /operators/{orgId B} / gửi organizationId = B trong body
2. GET xe/tài xế/tuyến của B</t>
  </si>
  <si>
    <t xml:space="preserve">403 ACCESS_DENIED / 404; không trả dữ liệu của B; orgId lấy từ ngữ cảnh định danh (AC-AUTH-002, AUTHZ-003).</t>
  </si>
  <si>
    <t xml:space="preserve">Operator Staff của nhà xe A đã đăng nhập. Có dữ liệu nhà xe B.</t>
  </si>
  <si>
    <t xml:space="preserve">OPS-04</t>
  </si>
  <si>
    <t xml:space="preserve">Tạo xe và sơ đồ ghế hợp lệ</t>
  </si>
  <si>
    <t xml:space="preserve">1. POST /buses {plateNumber, type, seatLayout}
2. GET /buses</t>
  </si>
  <si>
    <t xml:space="preserve">201; xe gắn với nhà xe A; nhà xe B không thấy (AC-OPS-001).</t>
  </si>
  <si>
    <t xml:space="preserve">OPS-05</t>
  </si>
  <si>
    <t xml:space="preserve">Tạo xe với biển số trùng</t>
  </si>
  <si>
    <t xml:space="preserve">1. POST /buses với plateNumber đã tồn tại</t>
  </si>
  <si>
    <t xml:space="preserve">Bị từ chối (409/400); không tạo bản ghi trùng.</t>
  </si>
  <si>
    <t xml:space="preserve">Operator Staff của nhà xe A đã đăng nhập. Đã có xe với biển số test.</t>
  </si>
  <si>
    <t xml:space="preserve">OPS-06</t>
  </si>
  <si>
    <t xml:space="preserve">Xóa xe đã được chuyến tham chiếu</t>
  </si>
  <si>
    <t xml:space="preserve">1. DELETE /buses/{id}
2. GET /buses/{id}</t>
  </si>
  <si>
    <t xml:space="preserve">Không xóa cứng; chỉ vô hiệu hóa/xóa mềm (AC-OPS-002, FR-OPS-009).</t>
  </si>
  <si>
    <t xml:space="preserve">Operator Staff của nhà xe A đã đăng nhập. Xe đã gắn vào chuyến.</t>
  </si>
  <si>
    <t xml:space="preserve">OPS-07</t>
  </si>
  <si>
    <t xml:space="preserve">Tạo tài xế hợp lệ</t>
  </si>
  <si>
    <t xml:space="preserve">1. POST /drivers {name, phone, licenseNo, licenseExpiry còn hạn}</t>
  </si>
  <si>
    <t xml:space="preserve">201; tài xế gắn với nhà xe A.</t>
  </si>
  <si>
    <t xml:space="preserve">OPS-08</t>
  </si>
  <si>
    <t xml:space="preserve">Tạo tài xế có giấy phép hết hạn</t>
  </si>
  <si>
    <t xml:space="preserve">1. POST /drivers {licenseExpiry trong quá khứ}</t>
  </si>
  <si>
    <t xml:space="preserve">400 VALIDATION_ERROR hoặc bị từ chối do giấy phép hết hạn (FR-OPS-003).</t>
  </si>
  <si>
    <t xml:space="preserve">OPS-09</t>
  </si>
  <si>
    <t xml:space="preserve">Tạo tuyến với các điểm dừng có thứ tự</t>
  </si>
  <si>
    <t xml:space="preserve">1. POST /routes {stops:[{order,time}...]}
2. GET /routes/{id}</t>
  </si>
  <si>
    <t xml:space="preserve">201; tuyến, thứ tự dừng và thời gian dự kiến được lưu đúng.</t>
  </si>
  <si>
    <t xml:space="preserve">OPS-10</t>
  </si>
  <si>
    <t xml:space="preserve">Tạo tuyến với thứ tự điểm dừng không hợp lệ</t>
  </si>
  <si>
    <t xml:space="preserve">1. POST /routes với thứ tự trùng/không liên tục hoặc thời gian đảo ngược</t>
  </si>
  <si>
    <t xml:space="preserve">400 VALIDATION_ERROR; không tạo tuyến.</t>
  </si>
  <si>
    <t xml:space="preserve">OPS-11</t>
  </si>
  <si>
    <t xml:space="preserve">Xóa tuyến đã được tham chiếu</t>
  </si>
  <si>
    <t xml:space="preserve">1. DELETE /routes/{id}</t>
  </si>
  <si>
    <t xml:space="preserve">Không xóa cứng; chỉ vô hiệu hóa/xóa mềm (FR-OPS-009).</t>
  </si>
  <si>
    <t xml:space="preserve">Operator Staff của nhà xe A đã đăng nhập. Tuyến đã gắn vào chuyến.</t>
  </si>
  <si>
    <t xml:space="preserve">TRIP-01</t>
  </si>
  <si>
    <t xml:space="preserve">Tạo chuyến ở dạng nháp</t>
  </si>
  <si>
    <t xml:space="preserve">1. POST /trips {routeId, busId, driverId, departureTime, price}
2. GET /trips/{id}</t>
  </si>
  <si>
    <t xml:space="preserve">201; chuyến ở trạng thái DRAFT, chưa xuất hiện trong kết quả tìm kiếm.</t>
  </si>
  <si>
    <t xml:space="preserve">TRIP-02</t>
  </si>
  <si>
    <t xml:space="preserve">Công bố chuyến đủ điều kiện</t>
  </si>
  <si>
    <t xml:space="preserve">1. POST /trips/{id}/publish
2. GET seats
3. Tìm chuyến ở Search API</t>
  </si>
  <si>
    <t xml:space="preserve">Chuyến chuyển SCHEDULED/mở bán; tạo bản chụp ghế; xuất hiện trong tìm kiếm.</t>
  </si>
  <si>
    <t xml:space="preserve">Có chuyến DRAFT đủ tuyến, xe, tài xế, giá, chính sách.</t>
  </si>
  <si>
    <t xml:space="preserve">TRIP-03</t>
  </si>
  <si>
    <t xml:space="preserve">Công bố chuyến thiếu thông tin bắt buộc</t>
  </si>
  <si>
    <t xml:space="preserve">1. Tạo chuyến thiếu xe/tài xế/giá
2. POST /trips/{id}/publish</t>
  </si>
  <si>
    <t xml:space="preserve">Bị từ chối; chuyến không được mở bán (BR-TRIP-001).</t>
  </si>
  <si>
    <t xml:space="preserve">Có chuyến DRAFT thiếu thông tin.</t>
  </si>
  <si>
    <t xml:space="preserve">TRIP-04</t>
  </si>
  <si>
    <t xml:space="preserve">Công bố chuyến trùng lịch xe</t>
  </si>
  <si>
    <t xml:space="preserve">1. Tạo chuyến mới cùng xe, thời gian chồng lấn (kể cả khoảng đệm)
2. POST publish</t>
  </si>
  <si>
    <t xml:space="preserve">409 SCHEDULE_CONFLICT; trả thông tin xung đột trong phạm vi cho phép (AC-OPS-003).</t>
  </si>
  <si>
    <t xml:space="preserve">Xe đã có chuyến cùng khung giờ.</t>
  </si>
  <si>
    <t xml:space="preserve">TRIP-05</t>
  </si>
  <si>
    <t xml:space="preserve">Công bố chuyến trùng lịch tài xế</t>
  </si>
  <si>
    <t xml:space="preserve">1. Tạo chuyến mới cùng tài xế, thời gian chồng lấn
2. POST publish</t>
  </si>
  <si>
    <t xml:space="preserve">409 SCHEDULE_CONFLICT (BR-TRIP-002).</t>
  </si>
  <si>
    <t xml:space="preserve">Tài xế đã có chuyến cùng khung giờ.</t>
  </si>
  <si>
    <t xml:space="preserve">TRIP-06</t>
  </si>
  <si>
    <t xml:space="preserve">Kho ghế chưa sẵn sàng khi công bố</t>
  </si>
  <si>
    <t xml:space="preserve">1. Giả lập lỗi tạo kho ghế
2. POST publish
3. Tìm chuyến</t>
  </si>
  <si>
    <t xml:space="preserve">Chuyến chưa được đánh dấu có thể bán cho đến khi kho ghế sẵn sàng (AC-OPS-004).</t>
  </si>
  <si>
    <t xml:space="preserve">Có chuyến hợp lệ; giả lập được lỗi tạo kho ghế.</t>
  </si>
  <si>
    <t xml:space="preserve">TRIP-07</t>
  </si>
  <si>
    <t xml:space="preserve">Chuyển trạng thái chuyến hợp lệ</t>
  </si>
  <si>
    <t xml:space="preserve">1. PATCH /trips/{id}/status lần lượt BOARDING → DEPARTED → IN_TRANSIT → ARRIVED → COMPLETED
2. GET trip + audit</t>
  </si>
  <si>
    <t xml:space="preserve">Mỗi bước cập nhật đúng trạng thái, phiên bản và có nhật ký kiểm toán (AC-OPS-006).</t>
  </si>
  <si>
    <t xml:space="preserve">TRIP-08</t>
  </si>
  <si>
    <t xml:space="preserve">Chuyển trạng thái không hợp lệ</t>
  </si>
  <si>
    <t xml:space="preserve">1. PATCH status SCHEDULED → ARRIVED (nhảy bước)</t>
  </si>
  <si>
    <t xml:space="preserve">409 INVALID_STATE_TRANSITION; giữ nguyên trạng thái, trả trạng thái hiện tại.</t>
  </si>
  <si>
    <t xml:space="preserve">TRIP-09</t>
  </si>
  <si>
    <t xml:space="preserve">Tài xế không được phân công đổi trạng thái / xem hành khách</t>
  </si>
  <si>
    <t xml:space="preserve">1. Driver khác PATCH /trips/{id}/status
2. Driver khác GET /trips/{id}/passengers</t>
  </si>
  <si>
    <t xml:space="preserve">403 ACCESS_DENIED; không trả thông tin cá nhân (AC-OPS-005, AUTHZ-005).</t>
  </si>
  <si>
    <t xml:space="preserve">Driver không được phân công T1.</t>
  </si>
  <si>
    <t xml:space="preserve">TRIP-10</t>
  </si>
  <si>
    <t xml:space="preserve">Xem danh sách hành khách đúng phạm vi và tối thiểu</t>
  </si>
  <si>
    <t xml:space="preserve">1. Staff nhà xe A GET /trips/{T1 của A}/passengers
2. Staff nhà xe A GET passengers của chuyến nhà xe B</t>
  </si>
  <si>
    <t xml:space="preserve">Chuyến của A: chỉ thông tin cá nhân tối thiểu. Chuyến của B: 403/404, không lộ dữ liệu (FR-BOOK-011, AUTHZ-007).</t>
  </si>
  <si>
    <t xml:space="preserve">Operator Staff của nhà xe A đã đăng nhập. Có booking ở chuyến của A và B.</t>
  </si>
  <si>
    <t xml:space="preserve">TRIP-11</t>
  </si>
  <si>
    <t xml:space="preserve">Tài xế xem phân công của mình</t>
  </si>
  <si>
    <t xml:space="preserve">1. GET /drivers/me/assignments</t>
  </si>
  <si>
    <t xml:space="preserve">Chỉ trả các chuyến được phân công còn hiệu lực (FR-OPS-010).</t>
  </si>
  <si>
    <t xml:space="preserve">TRIP-12</t>
  </si>
  <si>
    <t xml:space="preserve">Hủy chuyến đã bán vé</t>
  </si>
  <si>
    <t xml:space="preserve">1. POST /trips/{id}/cancel {reason}
2. GET trip, tickets, refunds, notifications</t>
  </si>
  <si>
    <t xml:space="preserve">Chuyến CANCELLED; vé bị vô hiệu; chỉ hoàn tiền qua cổng cho PREPAID đã thu; PAY_LATER không hoàn qua cổng; khách được thông báo (AC-TRIP-001).</t>
  </si>
  <si>
    <t xml:space="preserve">TRIP-13</t>
  </si>
  <si>
    <t xml:space="preserve">Gửi lặp lệnh hủy chuyến</t>
  </si>
  <si>
    <t xml:space="preserve">1. POST cancel (key K)
2. Gửi lại cùng key K
3. Đếm lần hủy và refund</t>
  </si>
  <si>
    <t xml:space="preserve">Chỉ có 1 lần hủy, không tạo hoàn tiền trùng (AC-TRIP-002, BR-TRIP-006).</t>
  </si>
  <si>
    <t xml:space="preserve">Chuyến có vé PREPAID.</t>
  </si>
  <si>
    <t xml:space="preserve">TRIP-14</t>
  </si>
  <si>
    <t xml:space="preserve">Xóa cứng chuyến đã có booking/vé</t>
  </si>
  <si>
    <t xml:space="preserve">1. DELETE /trips/{id}</t>
  </si>
  <si>
    <t xml:space="preserve">Không cho xóa cứng; chỉ được hủy (BR-TRIP-004).</t>
  </si>
  <si>
    <t xml:space="preserve">Chuyến đã có booking.</t>
  </si>
  <si>
    <t xml:space="preserve">Booking Service</t>
  </si>
  <si>
    <t xml:space="preserve">FR-BOOK-001..012, FR-TICKET-001..006, FR-PROMO-001/002, FR-REVIEW-001/002, BR-SEAT-001..010, BR-BOOK-001..012, BR-CANCEL-001..008, BR-TICKET-001..004, BR-REVIEW-001/002, AC-SEAT/BOOK/CANCEL/CHANGE/TICKET/PROMO/REVIEW: giữ ghế, đặt chỗ, hủy &amp; đổi vé, vé điện tử, check-in, khuyến mãi, đánh giá.</t>
  </si>
  <si>
    <t xml:space="preserve">BOOK-01</t>
  </si>
  <si>
    <t xml:space="preserve">Xem danh sách TripSeat và tình trạng</t>
  </si>
  <si>
    <t xml:space="preserve">1. GET /trips/{tripId}/seats (có token)</t>
  </si>
  <si>
    <t xml:space="preserve">200; trả danh sách ghế kèm trạng thái AVAILABLE/HELD/BOOKED/DISABLED.</t>
  </si>
  <si>
    <t xml:space="preserve">BOOK-02</t>
  </si>
  <si>
    <t xml:space="preserve">Giữ 1 ghế hợp lệ</t>
  </si>
  <si>
    <t xml:space="preserve">1. POST /seat-holds {tripId, seatIds:[A1]} + header Idempotency-Key
2. GET seats</t>
  </si>
  <si>
    <t xml:space="preserve">201; trả holdId/token, expiresAt, bản chụp giá; ghế A1 chuyển HELD.</t>
  </si>
  <si>
    <t xml:space="preserve">BOOK-03</t>
  </si>
  <si>
    <t xml:space="preserve">Giữ nhiều ghế hợp lệ trong cùng yêu cầu</t>
  </si>
  <si>
    <t xml:space="preserve">1. POST /seat-holds {seatIds:[A1,A2]}</t>
  </si>
  <si>
    <t xml:space="preserve">201; cả 2 ghế HELD, cùng 1 SeatHold.</t>
  </si>
  <si>
    <t xml:space="preserve">BOOK-04</t>
  </si>
  <si>
    <t xml:space="preserve">Giữ nhiều ghế khi có 1 ghế không còn trống (all-or-nothing)</t>
  </si>
  <si>
    <t xml:space="preserve">1. Customer 2 giữ A2
2. Customer 1 POST /seat-holds {seatIds:[A1,A2]}
3. GET seats</t>
  </si>
  <si>
    <t xml:space="preserve">409 SEAT_UNAVAILABLE kèm seat code bị ảnh hưởng; toàn bộ yêu cầu thất bại, A1 vẫn AVAILABLE (AC-SEAT-002).</t>
  </si>
  <si>
    <t xml:space="preserve">A1 AVAILABLE, A2 đã HELD/BOOKED.</t>
  </si>
  <si>
    <t xml:space="preserve">BOOK-05</t>
  </si>
  <si>
    <t xml:space="preserve">Hai khách giữ cùng 1 ghế đồng thời</t>
  </si>
  <si>
    <t xml:space="preserve">1. Gửi đồng thời 2 request POST /seat-holds ghế A1 từ 2 Customer khác nhau (Runner/Newman song song)
2. Kiểm tra kết quả</t>
  </si>
  <si>
    <t xml:space="preserve">Đúng 1 request thành công; request còn lại 409 SEAT_UNAVAILABLE; không bán trùng ghế (AC-SEAT-001, NFR-PERF-007).</t>
  </si>
  <si>
    <t xml:space="preserve">A1 AVAILABLE; 2 Customer đã đăng nhập.</t>
  </si>
  <si>
    <t xml:space="preserve">BOOK-06</t>
  </si>
  <si>
    <t xml:space="preserve">Giữ ghế khi chưa đăng nhập</t>
  </si>
  <si>
    <t xml:space="preserve">1. POST /seat-holds không gửi token</t>
  </si>
  <si>
    <t xml:space="preserve">401 AUTHENTICATION_REQUIRED; không tạo SeatHold (BR-BOOK-001).</t>
  </si>
  <si>
    <t xml:space="preserve">BOOK-07</t>
  </si>
  <si>
    <t xml:space="preserve">Giữ ghế của chuyến không còn bán</t>
  </si>
  <si>
    <t xml:space="preserve">1. POST /seat-holds với chuyến CANCELLED/DEPARTED</t>
  </si>
  <si>
    <t xml:space="preserve">409 TRIP_NOT_SELLABLE; không tạo SeatHold.</t>
  </si>
  <si>
    <t xml:space="preserve">Có chuyến đã CANCELLED hoặc DEPARTED.</t>
  </si>
  <si>
    <t xml:space="preserve">BOOK-08</t>
  </si>
  <si>
    <t xml:space="preserve">Gửi lặp cùng Idempotency-Key và cùng nội dung</t>
  </si>
  <si>
    <t xml:space="preserve">1. POST /seat-holds (key K, body B)
2. Gửi lại đúng key K, body B</t>
  </si>
  <si>
    <t xml:space="preserve">Trả lại đúng SeatHold đã tạo; không tạo SeatHold mới (BR-SEAT-007).</t>
  </si>
  <si>
    <t xml:space="preserve">BOOK-09</t>
  </si>
  <si>
    <t xml:space="preserve">SeatHold hết hạn được giải phóng tự động</t>
  </si>
  <si>
    <t xml:space="preserve">1. Giữ ghế A1
2. Chờ quá expiresAt
3. GET seats</t>
  </si>
  <si>
    <t xml:space="preserve">SeatHold chuyển EXPIRED; ghế A1 trở về AVAILABLE (FR-BOOK-007, BR-SEAT-008).</t>
  </si>
  <si>
    <t xml:space="preserve">Đã có SeatHold ACTIVE; biết timeout cấu hình.</t>
  </si>
  <si>
    <t xml:space="preserve">BOOK-10</t>
  </si>
  <si>
    <t xml:space="preserve">Tạo booking PREPAID từ SeatHold hợp lệ</t>
  </si>
  <si>
    <t xml:space="preserve">1. POST /bookings {holdId, passengers[1 người/ghế], paymentChannel:PREPAID} + Idempotency-Key</t>
  </si>
  <si>
    <t xml:space="preserve">201; booking PENDING_PAYMENT; backend tính tạm tính, giảm giá, phí, tổng tiền; SeatHold chuyển CONSUMED.</t>
  </si>
  <si>
    <t xml:space="preserve">BOOK-11</t>
  </si>
  <si>
    <t xml:space="preserve">Backend bỏ qua tổng tiền do client gửi</t>
  </si>
  <si>
    <t xml:space="preserve">1. POST /bookings kèm totalAmount nhỏ hơn giá trong bản chụp</t>
  </si>
  <si>
    <t xml:space="preserve">Server bỏ qua giá trị client, tính lại và trả tổng tiền chính thức (AC-BOOK-001, BR-BOOK-004).</t>
  </si>
  <si>
    <t xml:space="preserve">BOOK-12</t>
  </si>
  <si>
    <t xml:space="preserve">Tạo booking lặp cùng key và cùng nội dung</t>
  </si>
  <si>
    <t xml:space="preserve">1. POST /bookings (key K, body B)
2. Gửi lại nhiều lần cùng K, B</t>
  </si>
  <si>
    <t xml:space="preserve">Chỉ có 1 booking; các phản hồi tham chiếu cùng bookingId (AC-BOOK-002).</t>
  </si>
  <si>
    <t xml:space="preserve">BOOK-13</t>
  </si>
  <si>
    <t xml:space="preserve">Cùng Idempotency-Key nhưng nội dung khác</t>
  </si>
  <si>
    <t xml:space="preserve">1. POST /bookings (key K, body B)
2. POST /bookings (key K, body B' khác)</t>
  </si>
  <si>
    <t xml:space="preserve">409 IDEMPOTENCY_CONFLICT; không phát sinh tác động mới (AC-BOOK-003).</t>
  </si>
  <si>
    <t xml:space="preserve">BOOK-14</t>
  </si>
  <si>
    <t xml:space="preserve">Số hành khách khác số ghế</t>
  </si>
  <si>
    <t xml:space="preserve">1. POST /bookings với số passengers ≠ số ghế trong SeatHold</t>
  </si>
  <si>
    <t xml:space="preserve">400 VALIDATION_ERROR; không tạo booking, SeatHold không bị sử dụng (AC-BOOK-004).</t>
  </si>
  <si>
    <t xml:space="preserve">Customer đã đăng nhập (có accessToken). Có SeatHold ACTIVE 2 ghế.</t>
  </si>
  <si>
    <t xml:space="preserve">BOOK-15</t>
  </si>
  <si>
    <t xml:space="preserve">Thiếu thông tin bắt buộc của hành khách</t>
  </si>
  <si>
    <t xml:space="preserve">1. POST /bookings với passenger thiếu họ tên/SĐT (theo chính sách chuyến)</t>
  </si>
  <si>
    <t xml:space="preserve">400 VALIDATION_ERROR kèm field lỗi; không tạo booking.</t>
  </si>
  <si>
    <t xml:space="preserve">BOOK-16</t>
  </si>
  <si>
    <t xml:space="preserve">Tạo booking từ SeatHold đã hết hạn</t>
  </si>
  <si>
    <t xml:space="preserve">1. Chờ SeatHold quá expiresAt
2. POST /bookings {holdId}</t>
  </si>
  <si>
    <t xml:space="preserve">410 SEAT_HOLD_EXPIRED; không tạo booking; ghế hợp lệ được giải phóng (AC-SEAT-003).</t>
  </si>
  <si>
    <t xml:space="preserve">SeatHold đã quá hạn.</t>
  </si>
  <si>
    <t xml:space="preserve">BOOK-17</t>
  </si>
  <si>
    <t xml:space="preserve">Dùng SeatHold của người khác / dùng 1 SeatHold cho 2 booking</t>
  </si>
  <si>
    <t xml:space="preserve">1. Customer 2 POST /bookings với holdId của Customer 1
2. Customer 1 tạo booking lần 1 rồi lần 2 (key khác) cùng holdId</t>
  </si>
  <si>
    <t xml:space="preserve">Trường hợp 1: 403/404, không lộ dữ liệu. Trường hợp 2: lần 2 bị từ chối (BR-BOOK-002).</t>
  </si>
  <si>
    <t xml:space="preserve">Có SeatHold của Customer 1.</t>
  </si>
  <si>
    <t xml:space="preserve">BOOK-18</t>
  </si>
  <si>
    <t xml:space="preserve">Tạo booking PAY_LATER khi nhà xe bật trả sau</t>
  </si>
  <si>
    <t xml:space="preserve">1. POST /bookings {paymentChannel:PAY_LATER}
2. Kiểm tra booking, vé, ghế, payment</t>
  </si>
  <si>
    <t xml:space="preserve">Booking CONFIRMED; mỗi mục 1 vé PAY_LATER; ghế BOOKED; không tạo thanh toán qua cổng (AC-BOOK-007, FR-BOOK-012).</t>
  </si>
  <si>
    <t xml:space="preserve">Nhà xe bật cho phép trả sau; SeatHold còn hạn.</t>
  </si>
  <si>
    <t xml:space="preserve">BOOK-19</t>
  </si>
  <si>
    <t xml:space="preserve">Tạo booking PAY_LATER khi nhà xe tắt trả sau</t>
  </si>
  <si>
    <t xml:space="preserve">1. POST /bookings {paymentChannel:PAY_LATER}</t>
  </si>
  <si>
    <t xml:space="preserve">409 PAY_LATER_NOT_ALLOWED; không tạo booking, SeatHold không bị sử dụng (AC-BOOK-006).</t>
  </si>
  <si>
    <t xml:space="preserve">Nhà xe tắt trả sau.</t>
  </si>
  <si>
    <t xml:space="preserve">BOOK-20</t>
  </si>
  <si>
    <t xml:space="preserve">paymentChannel không hợp lệ</t>
  </si>
  <si>
    <t xml:space="preserve">1. POST /bookings {paymentChannel:"COD"}</t>
  </si>
  <si>
    <t xml:space="preserve">400 VALIDATION_ERROR; chỉ chấp nhận PREPAID hoặc PAY_LATER (BR-BOOK-011).</t>
  </si>
  <si>
    <t xml:space="preserve">BOOK-21</t>
  </si>
  <si>
    <t xml:space="preserve">Booking PREPAID quá hạn thanh toán chuyển EXPIRED</t>
  </si>
  <si>
    <t xml:space="preserve">1. Tạo booking PREPAID, không thanh toán
2. Chờ quá hạn
3. GET /bookings/{id}
4. GET seats</t>
  </si>
  <si>
    <t xml:space="preserve">Booking EXPIRED; ghế được giải phóng về AVAILABLE (BR-BOOK-007, FR-BOOK-007).</t>
  </si>
  <si>
    <t xml:space="preserve">Có booking PENDING_PAYMENT; biết thời hạn cấu hình.</t>
  </si>
  <si>
    <t xml:space="preserve">BOOK-22</t>
  </si>
  <si>
    <t xml:space="preserve">Xem danh sách đơn/vé của chính mình</t>
  </si>
  <si>
    <t xml:space="preserve">1. GET /bookings/my (lọc theo trạng thái: sắp đi, đã dùng, đã hủy, đã hoàn tiền)</t>
  </si>
  <si>
    <t xml:space="preserve">200; chỉ trả booking/vé của Customer đang đăng nhập, đúng theo bộ lọc.</t>
  </si>
  <si>
    <t xml:space="preserve">Customer đã đăng nhập (có accessToken). Có nhiều booking.</t>
  </si>
  <si>
    <t xml:space="preserve">BOOK-23</t>
  </si>
  <si>
    <t xml:space="preserve">Xem booking của khách khác khi biết mã</t>
  </si>
  <si>
    <t xml:space="preserve">1. Customer A GET /bookings/{bookingId của B}</t>
  </si>
  <si>
    <t xml:space="preserve">Bị từ chối (403/404), không lộ dữ liệu của B (AC-BOOK-005, AUTHZ-004).</t>
  </si>
  <si>
    <t xml:space="preserve">Có booking của Customer B.</t>
  </si>
  <si>
    <t xml:space="preserve">BOOK-24</t>
  </si>
  <si>
    <t xml:space="preserve">Xem booking không tồn tại</t>
  </si>
  <si>
    <t xml:space="preserve">1. GET /bookings/{id không tồn tại}</t>
  </si>
  <si>
    <t xml:space="preserve">404 RESOURCE_NOT_FOUND.</t>
  </si>
  <si>
    <t xml:space="preserve">CAN-01</t>
  </si>
  <si>
    <t xml:space="preserve">Xem trước hủy vé PREPAID</t>
  </si>
  <si>
    <t xml:space="preserve">1. POST /tickets/{id}/cancel-preview</t>
  </si>
  <si>
    <t xml:space="preserve">200; có phiên bản chính sách, phí hủy, số tiền hoàn trước khi xác nhận (AC-CANCEL-001, BR-CANCEL-002).</t>
  </si>
  <si>
    <t xml:space="preserve">Có booking PREPAID đã PAID, vé ISSUED.</t>
  </si>
  <si>
    <t xml:space="preserve">CAN-02</t>
  </si>
  <si>
    <t xml:space="preserve">Xác nhận hủy vé PREPAID</t>
  </si>
  <si>
    <t xml:space="preserve">1. POST /tickets/{id}/cancel + Idempotency-Key
2. GET ticket, booking, refund, seats</t>
  </si>
  <si>
    <t xml:space="preserve">Vé CANCELLED; tạo refund; booking CANCELLED → REFUND_PENDING; ghế về AVAILABLE nếu chuyến còn cho bán (BR-CANCEL-005).</t>
  </si>
  <si>
    <t xml:space="preserve">CAN-03</t>
  </si>
  <si>
    <t xml:space="preserve">Hủy vé PAY_LATER không hoàn tiền qua cổng</t>
  </si>
  <si>
    <t xml:space="preserve">1. POST cancel-preview cho vé PAY_LATER
2. POST cancel xác nhận</t>
  </si>
  <si>
    <t xml:space="preserve">Số tiền hoàn = 0; vé/booking CANCELLED; không tạo refund qua cổng (FR-BOOK-009, FR-PAY-011).</t>
  </si>
  <si>
    <t xml:space="preserve">Có booking PAY_LATER CONFIRMED.</t>
  </si>
  <si>
    <t xml:space="preserve">CAN-04</t>
  </si>
  <si>
    <t xml:space="preserve">Gửi lặp lệnh hủy cùng key</t>
  </si>
  <si>
    <t xml:space="preserve">1. POST cancel (key K)
2. Gửi lại cùng key K
3. Đếm refund</t>
  </si>
  <si>
    <t xml:space="preserve">Không tạo refund thứ hai (AC-CANCEL-002).</t>
  </si>
  <si>
    <t xml:space="preserve">CAN-05</t>
  </si>
  <si>
    <t xml:space="preserve">Hủy vé không đủ điều kiện (CHECKED_IN/USED/sau giờ khởi hành)</t>
  </si>
  <si>
    <t xml:space="preserve">1. POST cancel với vé CHECKED_IN
2. POST cancel với vé USED
3. POST cancel khi đã quá giờ khởi hành</t>
  </si>
  <si>
    <t xml:space="preserve">422 CANCELLATION_NOT_ALLOWED kèm lý do + policy snapshot; vé và thanh toán không đổi (AC-CANCEL-003, BR-CANCEL-003/004).</t>
  </si>
  <si>
    <t xml:space="preserve">Có vé CHECKED_IN, USED và chuyến đã khởi hành.</t>
  </si>
  <si>
    <t xml:space="preserve">CAN-06</t>
  </si>
  <si>
    <t xml:space="preserve">Hủy lại vé đã CANCELLED/REFUNDED</t>
  </si>
  <si>
    <t xml:space="preserve">1. POST cancel với vé đã CANCELLED
2. POST cancel với vé đã REFUNDED</t>
  </si>
  <si>
    <t xml:space="preserve">Bị từ chối (409 INVALID_STATE_TRANSITION hoặc 422); giữ nguyên trạng thái cũ.</t>
  </si>
  <si>
    <t xml:space="preserve">Có vé CANCELLED và vé REFUNDED.</t>
  </si>
  <si>
    <t xml:space="preserve">CAN-07</t>
  </si>
  <si>
    <t xml:space="preserve">Nhà cung cấp hoàn tiền lỗi sau khi hủy vé</t>
  </si>
  <si>
    <t xml:space="preserve">1. Cấu hình cổng mock trả lỗi refund
2. POST cancel vé PREPAID
3. GET ticket, refund</t>
  </si>
  <si>
    <t xml:space="preserve">Vé vẫn CANCELLED; refund chuyển FAILED hoặc PROCESSING để thử lại/xử lý thủ công (AC-CANCEL-004).</t>
  </si>
  <si>
    <t xml:space="preserve">Có booking PREPAID đã PAID, vé ISSUED. Cổng mock lỗi refund.</t>
  </si>
  <si>
    <t xml:space="preserve">CAN-08</t>
  </si>
  <si>
    <t xml:space="preserve">Tổng hoàn không vượt số đã thu và đảo phí sàn</t>
  </si>
  <si>
    <t xml:space="preserve">1. Hoàn tiền một phần rồi toàn bộ
2. Yêu cầu hoàn vượt số đã thu
3. GET settlement</t>
  </si>
  <si>
    <t xml:space="preserve">Tổng refund thành công ≤ số đã thanh toán; phí sàn/công nợ nhà xe được đảo tương ứng (AC-PAY-009, BR-PAY-007/013).</t>
  </si>
  <si>
    <t xml:space="preserve">CAN-09</t>
  </si>
  <si>
    <t xml:space="preserve">Hủy vé của khách khác</t>
  </si>
  <si>
    <t xml:space="preserve">1. Customer A POST /tickets/{id của B}/cancel</t>
  </si>
  <si>
    <t xml:space="preserve">403 ACCESS_DENIED / 404; vé của B không đổi (AUTHZ-004).</t>
  </si>
  <si>
    <t xml:space="preserve">Có vé của Customer B.</t>
  </si>
  <si>
    <t xml:space="preserve">CHG-01</t>
  </si>
  <si>
    <t xml:space="preserve">Đổi vé thành công khi giữ được ghế mới</t>
  </si>
  <si>
    <t xml:space="preserve">1. POST /tickets/{id}/change {tripId mới, seatIds mới}
2. Xác nhận phần chênh lệch giá
3. GET vé cũ, vé mới</t>
  </si>
  <si>
    <t xml:space="preserve">Vé mới ISSUED, vé cũ CANCELLED; không tồn tại 2 vé cùng hiệu lực (AC-CHANGE-002).</t>
  </si>
  <si>
    <t xml:space="preserve">Có booking PREPAID đã PAID, vé ISSUED. Có ghế mới AVAILABLE.</t>
  </si>
  <si>
    <t xml:space="preserve">CHG-02</t>
  </si>
  <si>
    <t xml:space="preserve">Đổi vé khi không giữ được ghế mới</t>
  </si>
  <si>
    <t xml:space="preserve">1. POST change với ghế mới đã HELD/BOOKED
2. GET vé cũ</t>
  </si>
  <si>
    <t xml:space="preserve">Đổi vé thất bại; vé cũ vẫn ISSUED và không phát sinh khoản thu (AC-CHANGE-001, BR-CANCEL-006).</t>
  </si>
  <si>
    <t xml:space="preserve">CHG-03</t>
  </si>
  <si>
    <t xml:space="preserve">Đổi vé không đủ điều kiện</t>
  </si>
  <si>
    <t xml:space="preserve">1. POST change với vé CHECKED_IN hoặc đã quá giờ đổi</t>
  </si>
  <si>
    <t xml:space="preserve">Bị từ chối kèm lý do; vé không đổi.</t>
  </si>
  <si>
    <t xml:space="preserve">Có vé CHECKED_IN.</t>
  </si>
  <si>
    <t xml:space="preserve">TKT-01</t>
  </si>
  <si>
    <t xml:space="preserve">Xem vé của mình có đủ thông tin</t>
  </si>
  <si>
    <t xml:space="preserve">1. GET /tickets/{id}</t>
  </si>
  <si>
    <t xml:space="preserve">200; có mã vé công khai, hành khách, nhà xe, chuyến, điểm đón/trả, ghế, giá, paymentChannel, trạng thái và mã QR (AC-TICKET-002).</t>
  </si>
  <si>
    <t xml:space="preserve">TKT-02</t>
  </si>
  <si>
    <t xml:space="preserve">Mỗi mục đặt chỗ có đúng 1 vé, không trùng</t>
  </si>
  <si>
    <t xml:space="preserve">1. Thanh toán booking nhiều ghế
2. GET /bookings/{id}/tickets</t>
  </si>
  <si>
    <t xml:space="preserve">Số vé = số mục đặt chỗ; mỗi mục đúng 1 vé; vé ghi paymentChannel (AC-TICKET-001).</t>
  </si>
  <si>
    <t xml:space="preserve">Booking PAID/CONFIRMED có nhiều ghế.</t>
  </si>
  <si>
    <t xml:space="preserve">TKT-03</t>
  </si>
  <si>
    <t xml:space="preserve">Mã QR không chứa thông tin cá nhân dạng rõ</t>
  </si>
  <si>
    <t xml:space="preserve">1. Lấy QR token từ vé
2. Giải mã/phân tích nội dung
3. So sánh nhiều vé</t>
  </si>
  <si>
    <t xml:space="preserve">QR là token ngẫu nhiên hoặc có chữ ký, khó đoán; không chứa PII dạng rõ (FR-TICKET-003, BR-TICKET-001).</t>
  </si>
  <si>
    <t xml:space="preserve">TKT-04</t>
  </si>
  <si>
    <t xml:space="preserve">Xem vé của khách khác</t>
  </si>
  <si>
    <t xml:space="preserve">1. Customer A GET /tickets/{id của B}</t>
  </si>
  <si>
    <t xml:space="preserve">403/404; không lộ dữ liệu của B.</t>
  </si>
  <si>
    <t xml:space="preserve">TKT-05</t>
  </si>
  <si>
    <t xml:space="preserve">Tài xế được phân công check-in vé hợp lệ</t>
  </si>
  <si>
    <t xml:space="preserve">1. POST /checkin {ticketCode/qrToken, tripId=T1}
2. GET ticket</t>
  </si>
  <si>
    <t xml:space="preserve">200; vé CHECKED_IN; nhật ký kiểm toán ghi người thao tác, thời điểm, chuyến và kết quả (AC-TICKET-003, FR-TICKET-006).</t>
  </si>
  <si>
    <t xml:space="preserve">TKT-06</t>
  </si>
  <si>
    <t xml:space="preserve">Check-in vé thuộc chuyến khác</t>
  </si>
  <si>
    <t xml:space="preserve">1. POST /checkin với vé của chuyến A trong chuyến B</t>
  </si>
  <si>
    <t xml:space="preserve">422 TICKET_NOT_VALID_FOR_TRIP; vé không đổi (AC-TICKET-004).</t>
  </si>
  <si>
    <t xml:space="preserve">Có vé của chuyến A; tài xế được phân công chuyến B.</t>
  </si>
  <si>
    <t xml:space="preserve">TKT-07</t>
  </si>
  <si>
    <t xml:space="preserve">Quét lặp vé đã check-in</t>
  </si>
  <si>
    <t xml:space="preserve">1. POST /checkin lần 1
2. POST /checkin lần 2 cùng vé</t>
  </si>
  <si>
    <t xml:space="preserve">409 TICKET_ALREADY_CHECKED_IN, trả thời điểm check-in trước; không tạo check-in thứ hai (AC-TICKET-005, BR-TICKET-003).</t>
  </si>
  <si>
    <t xml:space="preserve">Có vé ISSUED của T1.</t>
  </si>
  <si>
    <t xml:space="preserve">TKT-08</t>
  </si>
  <si>
    <t xml:space="preserve">Check-in vé đã hủy / đã hoàn tiền</t>
  </si>
  <si>
    <t xml:space="preserve">1. POST /checkin với vé CANCELLED
2. POST /checkin với vé REFUNDED</t>
  </si>
  <si>
    <t xml:space="preserve">Bị từ chối kèm lý do rõ ràng; vé không đổi (FR-TICKET-005, BR-TICKET-002).</t>
  </si>
  <si>
    <t xml:space="preserve">TKT-09</t>
  </si>
  <si>
    <t xml:space="preserve">Check-in bởi người không có quyền / tài xế không được phân công</t>
  </si>
  <si>
    <t xml:space="preserve">1. Driver không được phân công T1 POST /checkin
2. Customer POST /checkin</t>
  </si>
  <si>
    <t xml:space="preserve">403 ACCESS_DENIED; không check-in, không lộ thông tin cá nhân (AUTHZ-005, AC-OPS-005).</t>
  </si>
  <si>
    <t xml:space="preserve">TKT-10</t>
  </si>
  <si>
    <t xml:space="preserve">Mã vé không tồn tại</t>
  </si>
  <si>
    <t xml:space="preserve">1. POST /checkin {ticketCode không tồn tại}</t>
  </si>
  <si>
    <t xml:space="preserve">PROMO-01</t>
  </si>
  <si>
    <t xml:space="preserve">Tạo khuyến mãi hợp lệ</t>
  </si>
  <si>
    <t xml:space="preserve">1. POST /promotions {scope, startAt, endAt, quota, điều kiện}</t>
  </si>
  <si>
    <t xml:space="preserve">201; khuyến mãi được tạo đúng phạm vi, thời hạn, hạn mức.</t>
  </si>
  <si>
    <t xml:space="preserve">PROMO-02</t>
  </si>
  <si>
    <t xml:space="preserve">Áp dụng khuyến mãi hợp lệ khi đặt chỗ</t>
  </si>
  <si>
    <t xml:space="preserve">1. POST /bookings kèm promoCode
2. Kiểm tra giảm giá và lượt dùng</t>
  </si>
  <si>
    <t xml:space="preserve">Server tính đúng giảm giá; lưu bản chụp giảm giá và lượt sử dụng (AC-PROMO-001).</t>
  </si>
  <si>
    <t xml:space="preserve">Customer đã đăng nhập (có accessToken). Có SeatHold; promo còn hạn.</t>
  </si>
  <si>
    <t xml:space="preserve">PROMO-03</t>
  </si>
  <si>
    <t xml:space="preserve">Áp dụng khuyến mãi hết hạn / hết hạn mức / sai phạm vi</t>
  </si>
  <si>
    <t xml:space="preserve">1. POST /bookings với promo hết hạn
2. Với promo hết quota
3. Với promo sai phạm vi</t>
  </si>
  <si>
    <t xml:space="preserve">Bị từ chối; không giảm giá (FR-PROMO-002).</t>
  </si>
  <si>
    <t xml:space="preserve">PROMO-04</t>
  </si>
  <si>
    <t xml:space="preserve">Hai đơn áp dụng đồng thời khi quota còn 1</t>
  </si>
  <si>
    <t xml:space="preserve">1. Gửi đồng thời 2 POST /bookings cùng promoCode (quota còn 1)</t>
  </si>
  <si>
    <t xml:space="preserve">Không có số lượt dùng thành công nào vượt hạn mức (AC-PROMO-002).</t>
  </si>
  <si>
    <t xml:space="preserve">Promo còn quota = 1; 2 SeatHold hợp lệ.</t>
  </si>
  <si>
    <t xml:space="preserve">REVIEW-01</t>
  </si>
  <si>
    <t xml:space="preserve">Tạo đánh giá cho vé đã USED</t>
  </si>
  <si>
    <t xml:space="preserve">1. POST /reviews {ticketId, rating, comment}</t>
  </si>
  <si>
    <t xml:space="preserve">201; tạo đúng 1 đánh giá gắn với vé (AC-REVIEW-001).</t>
  </si>
  <si>
    <t xml:space="preserve">Customer sở hữu vé USED chưa đánh giá.</t>
  </si>
  <si>
    <t xml:space="preserve">REVIEW-02</t>
  </si>
  <si>
    <t xml:space="preserve">Đánh giá vé chưa USED hoặc không thuộc mình</t>
  </si>
  <si>
    <t xml:space="preserve">1. POST /reviews với vé ISSUED
2. POST /reviews với vé của khách khác</t>
  </si>
  <si>
    <t xml:space="preserve">Bị từ chối; không tạo đánh giá (AC-REVIEW-002).</t>
  </si>
  <si>
    <t xml:space="preserve">REVIEW-03</t>
  </si>
  <si>
    <t xml:space="preserve">Đánh giá lần 2 cho cùng vé</t>
  </si>
  <si>
    <t xml:space="preserve">1. POST /reviews lần 2 với cùng ticketId</t>
  </si>
  <si>
    <t xml:space="preserve">Bị từ chối; mỗi vé USED chỉ đánh giá tối đa 1 lần (BR-REVIEW-001).</t>
  </si>
  <si>
    <t xml:space="preserve">Vé USED đã có đánh giá.</t>
  </si>
  <si>
    <t xml:space="preserve">REVIEW-04</t>
  </si>
  <si>
    <t xml:space="preserve">Ẩn đánh giá vi phạm có lý do</t>
  </si>
  <si>
    <t xml:space="preserve">1. PATCH /reviews/{id}/hide {reason} bởi Admin
2. PATCH hide không có reason</t>
  </si>
  <si>
    <t xml:space="preserve">Có lý do: đánh giá bị ẩn, giữ lịch sử, người kiểm duyệt, lý do, thời điểm (AC-REVIEW-003). Thiếu lý do: 400.</t>
  </si>
  <si>
    <t xml:space="preserve">Payment Service</t>
  </si>
  <si>
    <t xml:space="preserve">FR-PAY-001..007/012/013, BR-PAY-001..014, AC-PAY-001..008, NFR-PERF-005: payment intent, webhook, settlement.</t>
  </si>
  <si>
    <t xml:space="preserve">PAY-01</t>
  </si>
  <si>
    <t xml:space="preserve">Tạo payment intent cho booking PREPAID hợp lệ</t>
  </si>
  <si>
    <t xml:space="preserve">1. POST /payments {bookingId} + Idempotency-Key</t>
  </si>
  <si>
    <t xml:space="preserve">201; payment ở PENDING/PROCESSING; trả paymentUrl; request gửi cổng có mã tham chiếu duy nhất, số tiền, tiền tệ, callback.</t>
  </si>
  <si>
    <t xml:space="preserve">Có booking PREPAID ở PENDING_PAYMENT (còn hạn) của Customer.</t>
  </si>
  <si>
    <t xml:space="preserve">PAY-02</t>
  </si>
  <si>
    <t xml:space="preserve">Tạo payment cho booking PAY_LATER</t>
  </si>
  <si>
    <t xml:space="preserve">1. POST /payments {bookingId của đơn PAY_LATER}</t>
  </si>
  <si>
    <t xml:space="preserve">Bị từ chối; không tạo thanh toán qua cổng (AC-PAY-007).</t>
  </si>
  <si>
    <t xml:space="preserve">PAY-03</t>
  </si>
  <si>
    <t xml:space="preserve">Tạo payment cho booking đã hết hạn</t>
  </si>
  <si>
    <t xml:space="preserve">1. POST /payments {bookingId EXPIRED}</t>
  </si>
  <si>
    <t xml:space="preserve">410 BOOKING_EXPIRED; không tạo Payment mới.</t>
  </si>
  <si>
    <t xml:space="preserve">Có booking EXPIRED.</t>
  </si>
  <si>
    <t xml:space="preserve">PAY-04</t>
  </si>
  <si>
    <t xml:space="preserve">Tạo payment cho booking của khách khác</t>
  </si>
  <si>
    <t xml:space="preserve">1. Customer A POST /payments {bookingId của B}</t>
  </si>
  <si>
    <t xml:space="preserve">403 ACCESS_DENIED / 404; không lộ dữ liệu.</t>
  </si>
  <si>
    <t xml:space="preserve">Có booking PREPAID của Customer B.</t>
  </si>
  <si>
    <t xml:space="preserve">PAY-05</t>
  </si>
  <si>
    <t xml:space="preserve">Webhook thành công hợp lệ</t>
  </si>
  <si>
    <t xml:space="preserve">1. POST /payments/webhook (chữ ký đúng, số tiền + tiền tệ khớp)
2. GET booking, seats, tickets</t>
  </si>
  <si>
    <t xml:space="preserve">200 trong ≤ 2s (p95); Payment SUCCEEDED, booking PAID, ghế BOOKED, mỗi mục 1 vé (AC-PAY-001, NFR-PERF-005).</t>
  </si>
  <si>
    <t xml:space="preserve">Có booking PREPAID ở PENDING_PAYMENT (còn hạn) của Customer. Đã tạo payment.</t>
  </si>
  <si>
    <t xml:space="preserve">PAY-06</t>
  </si>
  <si>
    <t xml:space="preserve">Webhook gửi lặp</t>
  </si>
  <si>
    <t xml:space="preserve">1. POST cùng webhook (cùng mã sự kiện) nhiều lần
2. Đếm payment và vé</t>
  </si>
  <si>
    <t xml:space="preserve">Chỉ có 1 payment thành công và 1 bộ vé; lần gửi lặp không tạo thay đổi thứ hai (AC-PAY-002, BR-PAY-003).</t>
  </si>
  <si>
    <t xml:space="preserve">PAY-07</t>
  </si>
  <si>
    <t xml:space="preserve">Webhook sai chữ ký</t>
  </si>
  <si>
    <t xml:space="preserve">1. POST /payments/webhook với chữ ký sai/thiếu</t>
  </si>
  <si>
    <t xml:space="preserve">Bị từ chối; booking không PAID, không có vé; ghi log bảo mật an toàn (BR-PAY-005).</t>
  </si>
  <si>
    <t xml:space="preserve">PAY-08</t>
  </si>
  <si>
    <t xml:space="preserve">Webhook sai số tiền hoặc sai loại tiền tệ</t>
  </si>
  <si>
    <t xml:space="preserve">1. POST webhook với amount khác payment intent
2. POST webhook với currency khác</t>
  </si>
  <si>
    <t xml:space="preserve">422 PAYMENT_VERIFICATION_FAILED; booking không PAID, không tạo vé; có hồ sơ đối soát/bảo mật (AC-PAY-003, BR-PAY-004).</t>
  </si>
  <si>
    <t xml:space="preserve">PAY-09</t>
  </si>
  <si>
    <t xml:space="preserve">Webhook thanh toán thất bại / bị hủy</t>
  </si>
  <si>
    <t xml:space="preserve">1. POST webhook trạng thái FAILED
2. POST webhook trạng thái CANCELLED</t>
  </si>
  <si>
    <t xml:space="preserve">Booking không chuyển PAID; không phát hành vé (AC-PAY-006); ghế giữ đến hết hạn hoặc giải phóng theo quy tắc.</t>
  </si>
  <si>
    <t xml:space="preserve">PAY-10</t>
  </si>
  <si>
    <t xml:space="preserve">Webhook thành công đến trễ khi ghế đã thuộc đơn khác</t>
  </si>
  <si>
    <t xml:space="preserve">1. Để booking hết hạn, ghế được đơn khác mua
2. POST webhook thành công cho payment cũ</t>
  </si>
  <si>
    <t xml:space="preserve">Không bán trùng ghế; tạo hoàn tiền bù trừ hoặc hồ sơ xử lý thủ công (AC-PAY-004, BR-PAY-006).</t>
  </si>
  <si>
    <t xml:space="preserve">Booking đã EXPIRED, ghế đã BOOKED bởi đơn khác.</t>
  </si>
  <si>
    <t xml:space="preserve">PAY-11</t>
  </si>
  <si>
    <t xml:space="preserve">Xem trạng thái khi webhook chưa đến / chỉ có redirect</t>
  </si>
  <si>
    <t xml:space="preserve">1. Gọi return-callback từ cổng (không webhook)
2. GET /payments/{id}</t>
  </si>
  <si>
    <t xml:space="preserve">Trả PROCESSING (202 PAYMENT_PROCESSING), booking vẫn PENDING_PAYMENT; redirect không được coi là đã thanh toán (AC-PAY-005, BR-PAY-010).</t>
  </si>
  <si>
    <t xml:space="preserve">PAY-12</t>
  </si>
  <si>
    <t xml:space="preserve">Chốt phí sàn 10% khi PREPAID thành công</t>
  </si>
  <si>
    <t xml:space="preserve">1. Thanh toán PREPAID tổng 100000 (phí sàn nhà xe 10%)
2. GET settlement của booking</t>
  </si>
  <si>
    <t xml:space="preserve">Phí sàn 10000; nhà xe thực nhận (operator_net) 90000; trạng thái thu COLLECTED (AC-PAY-008).</t>
  </si>
  <si>
    <t xml:space="preserve">Nhà xe có phí sàn 10%; booking PAID 100000.</t>
  </si>
  <si>
    <t xml:space="preserve">PAY-13</t>
  </si>
  <si>
    <t xml:space="preserve">Không lưu/không trả số thẻ (PAN) và CVV</t>
  </si>
  <si>
    <t xml:space="preserve">1. Thực hiện thanh toán
2. GET /payments/{id}, kiểm tra toàn bộ response</t>
  </si>
  <si>
    <t xml:space="preserve">Response không chứa PAN/CVV; chỉ có token/mã tham chiếu (BR-PAY-009).</t>
  </si>
  <si>
    <t xml:space="preserve">Notification Service</t>
  </si>
  <si>
    <t xml:space="preserve">FR-NOTIF-001..003 (SHOULD/MUST), AC-NOTIF-001/002: tạo thông báo theo sự kiện nghiệp vụ, cấu hình kênh, lỗi nhà cung cấp thông báo.</t>
  </si>
  <si>
    <t xml:space="preserve">NOTIF-01</t>
  </si>
  <si>
    <t xml:space="preserve">Tạo thông báo khi sự kiện nghiệp vụ xảy ra</t>
  </si>
  <si>
    <t xml:space="preserve">1. Thanh toán thành công booking
2. GET /notifications</t>
  </si>
  <si>
    <t xml:space="preserve">Có thông báo thanh toán/phát hành vé (FR-NOTIF-001); chỉ của chính người dùng.</t>
  </si>
  <si>
    <t xml:space="preserve">NOTIF-02</t>
  </si>
  <si>
    <t xml:space="preserve">Cấu hình kênh thông báo</t>
  </si>
  <si>
    <t xml:space="preserve">1. PUT /notifications/preferences tắt kênh tùy chọn
2. PUT tắt thông báo giao dịch thiết yếu</t>
  </si>
  <si>
    <t xml:space="preserve">Kênh tùy chọn được tắt; thông báo thiết yếu không thể tắt hoàn toàn (AC-NOTIF-002).</t>
  </si>
  <si>
    <t xml:space="preserve">NOTIF-03</t>
  </si>
  <si>
    <t xml:space="preserve">Nhà cung cấp thông báo lỗi không hoàn tác giao dịch</t>
  </si>
  <si>
    <t xml:space="preserve">1. Cấu hình provider mock lỗi
2. Thanh toán booking thành công
3. Kiểm tra booking, vé, hàng đợi retry</t>
  </si>
  <si>
    <t xml:space="preserve">Booking/thanh toán đã chốt không bị hoàn tác; thông báo được retry theo chính sách (AC-NOTIF-001, FR-NOTIF-002).</t>
  </si>
  <si>
    <t xml:space="preserve">Có booking PREPAID ở PENDING_PAYMENT (còn hạn) của Customer. Provider mock lỗi.</t>
  </si>
  <si>
    <t xml:space="preserve">Report Service</t>
  </si>
  <si>
    <t xml:space="preserve">FR-ADMIN-002/003, FR-REPORT-001..003, BR-AUDIT-001/002, AC-ADMIN-003/004, AC-REPORT-001/002: tra cứu giao dịch, kiểm toán, khiếu nại, báo cáo và xuất dữ liệu.</t>
  </si>
  <si>
    <t xml:space="preserve">ADM-06</t>
  </si>
  <si>
    <t xml:space="preserve">Tra cứu booking/payment/refund bằng mã</t>
  </si>
  <si>
    <t xml:space="preserve">1. GET /admin/transactions?code={bookingCode|paymentId|refundId}</t>
  </si>
  <si>
    <t xml:space="preserve">Liên kết được giao dịch và nhật ký kiểm toán; không có chức năng sửa lịch sử (AC-ADMIN-003).</t>
  </si>
  <si>
    <t xml:space="preserve">Admin đã đăng nhập. Có giao dịch mẫu.</t>
  </si>
  <si>
    <t xml:space="preserve">ADM-07</t>
  </si>
  <si>
    <t xml:space="preserve">Sửa/xóa bản ghi nhật ký kiểm toán</t>
  </si>
  <si>
    <t xml:space="preserve">1. PUT /admin/audit-logs/{id}
2. DELETE /admin/audit-logs/{id}</t>
  </si>
  <si>
    <t xml:space="preserve">Bị từ chối (405/403); audit chỉ thêm mới (BR-AUDIT-002).</t>
  </si>
  <si>
    <t xml:space="preserve">ADM-08</t>
  </si>
  <si>
    <t xml:space="preserve">Đóng khiếu nại thiếu kết quả xử lý (SHOULD)</t>
  </si>
  <si>
    <t xml:space="preserve">1. PATCH /admin/complaints/{id}/close không có resolution</t>
  </si>
  <si>
    <t xml:space="preserve">Bị từ chối; khiếu nại vẫn mở (AC-ADMIN-004).</t>
  </si>
  <si>
    <t xml:space="preserve">Admin đã đăng nhập. Có khiếu nại đang mở.</t>
  </si>
  <si>
    <t xml:space="preserve">REP-01</t>
  </si>
  <si>
    <t xml:space="preserve">Admin xem báo cáo theo khoảng thời gian</t>
  </si>
  <si>
    <t xml:space="preserve">1. GET /reports/summary?from=&amp;to=
2. Đối chiếu với dữ liệu giao dịch mẫu</t>
  </si>
  <si>
    <t xml:space="preserve">Trả tổng thu, thực nhận, phí sàn, số đơn, hoàn tiền, tỷ lệ lấp đầy; có định nghĩa chỉ số và múi giờ (FR-REPORT-001).</t>
  </si>
  <si>
    <t xml:space="preserve">Admin đã đăng nhập. Có dữ liệu giao dịch mẫu.</t>
  </si>
  <si>
    <t xml:space="preserve">REP-02</t>
  </si>
  <si>
    <t xml:space="preserve">Nhân viên tài chính nhà xe A chỉ thấy dữ liệu nhà xe A</t>
  </si>
  <si>
    <t xml:space="preserve">1. Finance Staff A GET /reports/summary
2. Thử truyền organizationId = B</t>
  </si>
  <si>
    <t xml:space="preserve">Chỉ có dữ liệu nhà xe A; tham số org B bị bỏ qua/từ chối; hiển thị chỉ số, múi giờ, độ mới dữ liệu (AC-REPORT-001).</t>
  </si>
  <si>
    <t xml:space="preserve">Finance Staff nhà xe A đã đăng nhập.</t>
  </si>
  <si>
    <t xml:space="preserve">REP-03</t>
  </si>
  <si>
    <t xml:space="preserve">Xuất báo cáo lớn bất đồng bộ (SHOULD)</t>
  </si>
  <si>
    <t xml:space="preserve">1. POST /reports/export (khoảng dữ liệu lớn)
2. GET trạng thái job
3. Tải file bằng user khác quyền</t>
  </si>
  <si>
    <t xml:space="preserve">Tạo export job, thông báo khi sẵn sàng; kiểm tra lại quyền khi tải, user không có quyền bị từ chối (AC-REPORT-002).</t>
  </si>
  <si>
    <t xml:space="preserve">REP-04</t>
  </si>
  <si>
    <t xml:space="preserve">Khoảng thời gian báo cáo không hợp lệ</t>
  </si>
  <si>
    <t xml:space="preserve">1. GET /reports/summary?from=2026-10-30&amp;to=2026-10-01</t>
  </si>
  <si>
    <t xml:space="preserve">400 VALIDATION_ERROR.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</si>
</sst>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\-mmm\-yy;@"/>
    <numFmt numFmtId="167" formatCode="@"/>
    <numFmt numFmtId="168" formatCode="d\-mmm\-yy"/>
    <numFmt numFmtId="169" formatCode="0"/>
    <numFmt numFmtId="170" formatCode="General"/>
    <numFmt numFmtId="171" formatCode="0.00"/>
  </numFmts>
  <fonts count="25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0"/>
      <color rgb="FF993300"/>
      <name val="Tahoma"/>
      <family val="2"/>
      <charset val="1"/>
    </font>
    <font>
      <i val="true"/>
      <sz val="10"/>
      <color rgb="FF008000"/>
      <name val="Tahoma"/>
      <family val="2"/>
      <charset val="1"/>
    </font>
    <font>
      <b val="true"/>
      <sz val="10"/>
      <name val="Tahoma"/>
      <family val="2"/>
      <charset val="1"/>
    </font>
    <font>
      <i val="true"/>
      <sz val="10"/>
      <name val="Tahoma"/>
      <family val="2"/>
      <charset val="1"/>
    </font>
    <font>
      <b val="true"/>
      <sz val="10"/>
      <color rgb="FFFFFFFF"/>
      <name val="Tahoma"/>
      <family val="2"/>
      <charset val="1"/>
    </font>
    <font>
      <sz val="10"/>
      <name val="Arial"/>
      <family val="2"/>
    </font>
    <font>
      <b val="true"/>
      <sz val="10"/>
      <color rgb="FF000000"/>
      <name val="Tahoma"/>
      <family val="2"/>
      <charset val="1"/>
    </font>
    <font>
      <b val="true"/>
      <sz val="10"/>
      <color rgb="FFFF0000"/>
      <name val="Tahoma"/>
      <family val="2"/>
      <charset val="1"/>
    </font>
    <font>
      <sz val="10"/>
      <color rgb="FF0000FF"/>
      <name val="Tahoma"/>
      <family val="2"/>
      <charset val="1"/>
    </font>
    <font>
      <sz val="10"/>
      <color rgb="FF000000"/>
      <name val="Tahoma"/>
      <family val="0"/>
      <charset val="1"/>
    </font>
    <font>
      <sz val="10"/>
      <color rgb="FFFFFFFF"/>
      <name val="Tahoma"/>
      <family val="2"/>
      <charset val="1"/>
    </font>
    <font>
      <b val="true"/>
      <sz val="10"/>
      <color rgb="FF0000FF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Tahoma"/>
      <family val="2"/>
      <charset val="1"/>
    </font>
    <font>
      <b val="true"/>
      <i val="true"/>
      <sz val="1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theme="6" tint="-0.25"/>
        <bgColor rgb="FF808080"/>
      </patternFill>
    </fill>
    <fill>
      <patternFill patternType="solid">
        <fgColor rgb="FFCCFFFF"/>
        <bgColor rgb="FFCCFFFF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8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1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7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2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2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0"/>
    <cellStyle name="Normal_Sheet1" xfId="21"/>
    <cellStyle name="Normal_Template_UnitTest Case_v0.9" xfId="22"/>
    <cellStyle name="標準_結合試験(AllOvertheWorld)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9" defaultRowHeight="12.75" zeroHeight="false" outlineLevelRow="0" outlineLevelCol="0"/>
  <cols>
    <col collapsed="false" customWidth="true" hidden="false" outlineLevel="0" max="1" min="1" style="1" width="28.11"/>
    <col collapsed="false" customWidth="true" hidden="false" outlineLevel="0" max="2" min="2" style="2" width="10"/>
    <col collapsed="false" customWidth="true" hidden="false" outlineLevel="0" max="3" min="3" style="2" width="14.33"/>
    <col collapsed="false" customWidth="true" hidden="false" outlineLevel="0" max="4" min="4" style="2" width="8"/>
    <col collapsed="false" customWidth="true" hidden="false" outlineLevel="0" max="5" min="5" style="2" width="38"/>
    <col collapsed="false" customWidth="true" hidden="false" outlineLevel="0" max="6" min="6" style="2" width="48.11"/>
    <col collapsed="false" customWidth="false" hidden="false" outlineLevel="0" max="256" min="7" style="2" width="9"/>
    <col collapsed="false" customWidth="true" hidden="false" outlineLevel="0" max="257" min="257" style="2" width="28.11"/>
    <col collapsed="false" customWidth="true" hidden="false" outlineLevel="0" max="258" min="258" style="2" width="10"/>
    <col collapsed="false" customWidth="true" hidden="false" outlineLevel="0" max="259" min="259" style="2" width="14.33"/>
    <col collapsed="false" customWidth="true" hidden="false" outlineLevel="0" max="260" min="260" style="2" width="8"/>
    <col collapsed="false" customWidth="true" hidden="false" outlineLevel="0" max="261" min="261" style="2" width="38"/>
    <col collapsed="false" customWidth="true" hidden="false" outlineLevel="0" max="262" min="262" style="2" width="48.11"/>
    <col collapsed="false" customWidth="false" hidden="false" outlineLevel="0" max="512" min="263" style="2" width="9"/>
    <col collapsed="false" customWidth="true" hidden="false" outlineLevel="0" max="513" min="513" style="2" width="28.11"/>
    <col collapsed="false" customWidth="true" hidden="false" outlineLevel="0" max="514" min="514" style="2" width="10"/>
    <col collapsed="false" customWidth="true" hidden="false" outlineLevel="0" max="515" min="515" style="2" width="14.33"/>
    <col collapsed="false" customWidth="true" hidden="false" outlineLevel="0" max="516" min="516" style="2" width="8"/>
    <col collapsed="false" customWidth="true" hidden="false" outlineLevel="0" max="517" min="517" style="2" width="38"/>
    <col collapsed="false" customWidth="true" hidden="false" outlineLevel="0" max="518" min="518" style="2" width="48.11"/>
    <col collapsed="false" customWidth="false" hidden="false" outlineLevel="0" max="768" min="519" style="2" width="9"/>
    <col collapsed="false" customWidth="true" hidden="false" outlineLevel="0" max="769" min="769" style="2" width="28.11"/>
    <col collapsed="false" customWidth="true" hidden="false" outlineLevel="0" max="770" min="770" style="2" width="10"/>
    <col collapsed="false" customWidth="true" hidden="false" outlineLevel="0" max="771" min="771" style="2" width="14.33"/>
    <col collapsed="false" customWidth="true" hidden="false" outlineLevel="0" max="772" min="772" style="2" width="8"/>
    <col collapsed="false" customWidth="true" hidden="false" outlineLevel="0" max="773" min="773" style="2" width="38"/>
    <col collapsed="false" customWidth="true" hidden="false" outlineLevel="0" max="774" min="774" style="2" width="48.11"/>
    <col collapsed="false" customWidth="false" hidden="false" outlineLevel="0" max="1024" min="775" style="2" width="9"/>
    <col collapsed="false" customWidth="true" hidden="false" outlineLevel="0" max="1025" min="1025" style="2" width="28.11"/>
    <col collapsed="false" customWidth="true" hidden="false" outlineLevel="0" max="1026" min="1026" style="2" width="10"/>
    <col collapsed="false" customWidth="true" hidden="false" outlineLevel="0" max="1027" min="1027" style="2" width="14.33"/>
    <col collapsed="false" customWidth="true" hidden="false" outlineLevel="0" max="1028" min="1028" style="2" width="8"/>
    <col collapsed="false" customWidth="true" hidden="false" outlineLevel="0" max="1029" min="1029" style="2" width="38"/>
    <col collapsed="false" customWidth="true" hidden="false" outlineLevel="0" max="1030" min="1030" style="2" width="48.11"/>
    <col collapsed="false" customWidth="false" hidden="false" outlineLevel="0" max="1280" min="1031" style="2" width="9"/>
    <col collapsed="false" customWidth="true" hidden="false" outlineLevel="0" max="1281" min="1281" style="2" width="28.11"/>
    <col collapsed="false" customWidth="true" hidden="false" outlineLevel="0" max="1282" min="1282" style="2" width="10"/>
    <col collapsed="false" customWidth="true" hidden="false" outlineLevel="0" max="1283" min="1283" style="2" width="14.33"/>
    <col collapsed="false" customWidth="true" hidden="false" outlineLevel="0" max="1284" min="1284" style="2" width="8"/>
    <col collapsed="false" customWidth="true" hidden="false" outlineLevel="0" max="1285" min="1285" style="2" width="38"/>
    <col collapsed="false" customWidth="true" hidden="false" outlineLevel="0" max="1286" min="1286" style="2" width="48.11"/>
    <col collapsed="false" customWidth="false" hidden="false" outlineLevel="0" max="1536" min="1287" style="2" width="9"/>
    <col collapsed="false" customWidth="true" hidden="false" outlineLevel="0" max="1537" min="1537" style="2" width="28.11"/>
    <col collapsed="false" customWidth="true" hidden="false" outlineLevel="0" max="1538" min="1538" style="2" width="10"/>
    <col collapsed="false" customWidth="true" hidden="false" outlineLevel="0" max="1539" min="1539" style="2" width="14.33"/>
    <col collapsed="false" customWidth="true" hidden="false" outlineLevel="0" max="1540" min="1540" style="2" width="8"/>
    <col collapsed="false" customWidth="true" hidden="false" outlineLevel="0" max="1541" min="1541" style="2" width="38"/>
    <col collapsed="false" customWidth="true" hidden="false" outlineLevel="0" max="1542" min="1542" style="2" width="48.11"/>
    <col collapsed="false" customWidth="false" hidden="false" outlineLevel="0" max="1792" min="1543" style="2" width="9"/>
    <col collapsed="false" customWidth="true" hidden="false" outlineLevel="0" max="1793" min="1793" style="2" width="28.11"/>
    <col collapsed="false" customWidth="true" hidden="false" outlineLevel="0" max="1794" min="1794" style="2" width="10"/>
    <col collapsed="false" customWidth="true" hidden="false" outlineLevel="0" max="1795" min="1795" style="2" width="14.33"/>
    <col collapsed="false" customWidth="true" hidden="false" outlineLevel="0" max="1796" min="1796" style="2" width="8"/>
    <col collapsed="false" customWidth="true" hidden="false" outlineLevel="0" max="1797" min="1797" style="2" width="38"/>
    <col collapsed="false" customWidth="true" hidden="false" outlineLevel="0" max="1798" min="1798" style="2" width="48.11"/>
    <col collapsed="false" customWidth="false" hidden="false" outlineLevel="0" max="2048" min="1799" style="2" width="9"/>
    <col collapsed="false" customWidth="true" hidden="false" outlineLevel="0" max="2049" min="2049" style="2" width="28.11"/>
    <col collapsed="false" customWidth="true" hidden="false" outlineLevel="0" max="2050" min="2050" style="2" width="10"/>
    <col collapsed="false" customWidth="true" hidden="false" outlineLevel="0" max="2051" min="2051" style="2" width="14.33"/>
    <col collapsed="false" customWidth="true" hidden="false" outlineLevel="0" max="2052" min="2052" style="2" width="8"/>
    <col collapsed="false" customWidth="true" hidden="false" outlineLevel="0" max="2053" min="2053" style="2" width="38"/>
    <col collapsed="false" customWidth="true" hidden="false" outlineLevel="0" max="2054" min="2054" style="2" width="48.11"/>
    <col collapsed="false" customWidth="false" hidden="false" outlineLevel="0" max="2304" min="2055" style="2" width="9"/>
    <col collapsed="false" customWidth="true" hidden="false" outlineLevel="0" max="2305" min="2305" style="2" width="28.11"/>
    <col collapsed="false" customWidth="true" hidden="false" outlineLevel="0" max="2306" min="2306" style="2" width="10"/>
    <col collapsed="false" customWidth="true" hidden="false" outlineLevel="0" max="2307" min="2307" style="2" width="14.33"/>
    <col collapsed="false" customWidth="true" hidden="false" outlineLevel="0" max="2308" min="2308" style="2" width="8"/>
    <col collapsed="false" customWidth="true" hidden="false" outlineLevel="0" max="2309" min="2309" style="2" width="38"/>
    <col collapsed="false" customWidth="true" hidden="false" outlineLevel="0" max="2310" min="2310" style="2" width="48.11"/>
    <col collapsed="false" customWidth="false" hidden="false" outlineLevel="0" max="2560" min="2311" style="2" width="9"/>
    <col collapsed="false" customWidth="true" hidden="false" outlineLevel="0" max="2561" min="2561" style="2" width="28.11"/>
    <col collapsed="false" customWidth="true" hidden="false" outlineLevel="0" max="2562" min="2562" style="2" width="10"/>
    <col collapsed="false" customWidth="true" hidden="false" outlineLevel="0" max="2563" min="2563" style="2" width="14.33"/>
    <col collapsed="false" customWidth="true" hidden="false" outlineLevel="0" max="2564" min="2564" style="2" width="8"/>
    <col collapsed="false" customWidth="true" hidden="false" outlineLevel="0" max="2565" min="2565" style="2" width="38"/>
    <col collapsed="false" customWidth="true" hidden="false" outlineLevel="0" max="2566" min="2566" style="2" width="48.11"/>
    <col collapsed="false" customWidth="false" hidden="false" outlineLevel="0" max="2816" min="2567" style="2" width="9"/>
    <col collapsed="false" customWidth="true" hidden="false" outlineLevel="0" max="2817" min="2817" style="2" width="28.11"/>
    <col collapsed="false" customWidth="true" hidden="false" outlineLevel="0" max="2818" min="2818" style="2" width="10"/>
    <col collapsed="false" customWidth="true" hidden="false" outlineLevel="0" max="2819" min="2819" style="2" width="14.33"/>
    <col collapsed="false" customWidth="true" hidden="false" outlineLevel="0" max="2820" min="2820" style="2" width="8"/>
    <col collapsed="false" customWidth="true" hidden="false" outlineLevel="0" max="2821" min="2821" style="2" width="38"/>
    <col collapsed="false" customWidth="true" hidden="false" outlineLevel="0" max="2822" min="2822" style="2" width="48.11"/>
    <col collapsed="false" customWidth="false" hidden="false" outlineLevel="0" max="3072" min="2823" style="2" width="9"/>
    <col collapsed="false" customWidth="true" hidden="false" outlineLevel="0" max="3073" min="3073" style="2" width="28.11"/>
    <col collapsed="false" customWidth="true" hidden="false" outlineLevel="0" max="3074" min="3074" style="2" width="10"/>
    <col collapsed="false" customWidth="true" hidden="false" outlineLevel="0" max="3075" min="3075" style="2" width="14.33"/>
    <col collapsed="false" customWidth="true" hidden="false" outlineLevel="0" max="3076" min="3076" style="2" width="8"/>
    <col collapsed="false" customWidth="true" hidden="false" outlineLevel="0" max="3077" min="3077" style="2" width="38"/>
    <col collapsed="false" customWidth="true" hidden="false" outlineLevel="0" max="3078" min="3078" style="2" width="48.11"/>
    <col collapsed="false" customWidth="false" hidden="false" outlineLevel="0" max="3328" min="3079" style="2" width="9"/>
    <col collapsed="false" customWidth="true" hidden="false" outlineLevel="0" max="3329" min="3329" style="2" width="28.11"/>
    <col collapsed="false" customWidth="true" hidden="false" outlineLevel="0" max="3330" min="3330" style="2" width="10"/>
    <col collapsed="false" customWidth="true" hidden="false" outlineLevel="0" max="3331" min="3331" style="2" width="14.33"/>
    <col collapsed="false" customWidth="true" hidden="false" outlineLevel="0" max="3332" min="3332" style="2" width="8"/>
    <col collapsed="false" customWidth="true" hidden="false" outlineLevel="0" max="3333" min="3333" style="2" width="38"/>
    <col collapsed="false" customWidth="true" hidden="false" outlineLevel="0" max="3334" min="3334" style="2" width="48.11"/>
    <col collapsed="false" customWidth="false" hidden="false" outlineLevel="0" max="3584" min="3335" style="2" width="9"/>
    <col collapsed="false" customWidth="true" hidden="false" outlineLevel="0" max="3585" min="3585" style="2" width="28.11"/>
    <col collapsed="false" customWidth="true" hidden="false" outlineLevel="0" max="3586" min="3586" style="2" width="10"/>
    <col collapsed="false" customWidth="true" hidden="false" outlineLevel="0" max="3587" min="3587" style="2" width="14.33"/>
    <col collapsed="false" customWidth="true" hidden="false" outlineLevel="0" max="3588" min="3588" style="2" width="8"/>
    <col collapsed="false" customWidth="true" hidden="false" outlineLevel="0" max="3589" min="3589" style="2" width="38"/>
    <col collapsed="false" customWidth="true" hidden="false" outlineLevel="0" max="3590" min="3590" style="2" width="48.11"/>
    <col collapsed="false" customWidth="false" hidden="false" outlineLevel="0" max="3840" min="3591" style="2" width="9"/>
    <col collapsed="false" customWidth="true" hidden="false" outlineLevel="0" max="3841" min="3841" style="2" width="28.11"/>
    <col collapsed="false" customWidth="true" hidden="false" outlineLevel="0" max="3842" min="3842" style="2" width="10"/>
    <col collapsed="false" customWidth="true" hidden="false" outlineLevel="0" max="3843" min="3843" style="2" width="14.33"/>
    <col collapsed="false" customWidth="true" hidden="false" outlineLevel="0" max="3844" min="3844" style="2" width="8"/>
    <col collapsed="false" customWidth="true" hidden="false" outlineLevel="0" max="3845" min="3845" style="2" width="38"/>
    <col collapsed="false" customWidth="true" hidden="false" outlineLevel="0" max="3846" min="3846" style="2" width="48.11"/>
    <col collapsed="false" customWidth="false" hidden="false" outlineLevel="0" max="4096" min="3847" style="2" width="9"/>
    <col collapsed="false" customWidth="true" hidden="false" outlineLevel="0" max="4097" min="4097" style="2" width="28.11"/>
    <col collapsed="false" customWidth="true" hidden="false" outlineLevel="0" max="4098" min="4098" style="2" width="10"/>
    <col collapsed="false" customWidth="true" hidden="false" outlineLevel="0" max="4099" min="4099" style="2" width="14.33"/>
    <col collapsed="false" customWidth="true" hidden="false" outlineLevel="0" max="4100" min="4100" style="2" width="8"/>
    <col collapsed="false" customWidth="true" hidden="false" outlineLevel="0" max="4101" min="4101" style="2" width="38"/>
    <col collapsed="false" customWidth="true" hidden="false" outlineLevel="0" max="4102" min="4102" style="2" width="48.11"/>
    <col collapsed="false" customWidth="false" hidden="false" outlineLevel="0" max="4352" min="4103" style="2" width="9"/>
    <col collapsed="false" customWidth="true" hidden="false" outlineLevel="0" max="4353" min="4353" style="2" width="28.11"/>
    <col collapsed="false" customWidth="true" hidden="false" outlineLevel="0" max="4354" min="4354" style="2" width="10"/>
    <col collapsed="false" customWidth="true" hidden="false" outlineLevel="0" max="4355" min="4355" style="2" width="14.33"/>
    <col collapsed="false" customWidth="true" hidden="false" outlineLevel="0" max="4356" min="4356" style="2" width="8"/>
    <col collapsed="false" customWidth="true" hidden="false" outlineLevel="0" max="4357" min="4357" style="2" width="38"/>
    <col collapsed="false" customWidth="true" hidden="false" outlineLevel="0" max="4358" min="4358" style="2" width="48.11"/>
    <col collapsed="false" customWidth="false" hidden="false" outlineLevel="0" max="4608" min="4359" style="2" width="9"/>
    <col collapsed="false" customWidth="true" hidden="false" outlineLevel="0" max="4609" min="4609" style="2" width="28.11"/>
    <col collapsed="false" customWidth="true" hidden="false" outlineLevel="0" max="4610" min="4610" style="2" width="10"/>
    <col collapsed="false" customWidth="true" hidden="false" outlineLevel="0" max="4611" min="4611" style="2" width="14.33"/>
    <col collapsed="false" customWidth="true" hidden="false" outlineLevel="0" max="4612" min="4612" style="2" width="8"/>
    <col collapsed="false" customWidth="true" hidden="false" outlineLevel="0" max="4613" min="4613" style="2" width="38"/>
    <col collapsed="false" customWidth="true" hidden="false" outlineLevel="0" max="4614" min="4614" style="2" width="48.11"/>
    <col collapsed="false" customWidth="false" hidden="false" outlineLevel="0" max="4864" min="4615" style="2" width="9"/>
    <col collapsed="false" customWidth="true" hidden="false" outlineLevel="0" max="4865" min="4865" style="2" width="28.11"/>
    <col collapsed="false" customWidth="true" hidden="false" outlineLevel="0" max="4866" min="4866" style="2" width="10"/>
    <col collapsed="false" customWidth="true" hidden="false" outlineLevel="0" max="4867" min="4867" style="2" width="14.33"/>
    <col collapsed="false" customWidth="true" hidden="false" outlineLevel="0" max="4868" min="4868" style="2" width="8"/>
    <col collapsed="false" customWidth="true" hidden="false" outlineLevel="0" max="4869" min="4869" style="2" width="38"/>
    <col collapsed="false" customWidth="true" hidden="false" outlineLevel="0" max="4870" min="4870" style="2" width="48.11"/>
    <col collapsed="false" customWidth="false" hidden="false" outlineLevel="0" max="5120" min="4871" style="2" width="9"/>
    <col collapsed="false" customWidth="true" hidden="false" outlineLevel="0" max="5121" min="5121" style="2" width="28.11"/>
    <col collapsed="false" customWidth="true" hidden="false" outlineLevel="0" max="5122" min="5122" style="2" width="10"/>
    <col collapsed="false" customWidth="true" hidden="false" outlineLevel="0" max="5123" min="5123" style="2" width="14.33"/>
    <col collapsed="false" customWidth="true" hidden="false" outlineLevel="0" max="5124" min="5124" style="2" width="8"/>
    <col collapsed="false" customWidth="true" hidden="false" outlineLevel="0" max="5125" min="5125" style="2" width="38"/>
    <col collapsed="false" customWidth="true" hidden="false" outlineLevel="0" max="5126" min="5126" style="2" width="48.11"/>
    <col collapsed="false" customWidth="false" hidden="false" outlineLevel="0" max="5376" min="5127" style="2" width="9"/>
    <col collapsed="false" customWidth="true" hidden="false" outlineLevel="0" max="5377" min="5377" style="2" width="28.11"/>
    <col collapsed="false" customWidth="true" hidden="false" outlineLevel="0" max="5378" min="5378" style="2" width="10"/>
    <col collapsed="false" customWidth="true" hidden="false" outlineLevel="0" max="5379" min="5379" style="2" width="14.33"/>
    <col collapsed="false" customWidth="true" hidden="false" outlineLevel="0" max="5380" min="5380" style="2" width="8"/>
    <col collapsed="false" customWidth="true" hidden="false" outlineLevel="0" max="5381" min="5381" style="2" width="38"/>
    <col collapsed="false" customWidth="true" hidden="false" outlineLevel="0" max="5382" min="5382" style="2" width="48.11"/>
    <col collapsed="false" customWidth="false" hidden="false" outlineLevel="0" max="5632" min="5383" style="2" width="9"/>
    <col collapsed="false" customWidth="true" hidden="false" outlineLevel="0" max="5633" min="5633" style="2" width="28.11"/>
    <col collapsed="false" customWidth="true" hidden="false" outlineLevel="0" max="5634" min="5634" style="2" width="10"/>
    <col collapsed="false" customWidth="true" hidden="false" outlineLevel="0" max="5635" min="5635" style="2" width="14.33"/>
    <col collapsed="false" customWidth="true" hidden="false" outlineLevel="0" max="5636" min="5636" style="2" width="8"/>
    <col collapsed="false" customWidth="true" hidden="false" outlineLevel="0" max="5637" min="5637" style="2" width="38"/>
    <col collapsed="false" customWidth="true" hidden="false" outlineLevel="0" max="5638" min="5638" style="2" width="48.11"/>
    <col collapsed="false" customWidth="false" hidden="false" outlineLevel="0" max="5888" min="5639" style="2" width="9"/>
    <col collapsed="false" customWidth="true" hidden="false" outlineLevel="0" max="5889" min="5889" style="2" width="28.11"/>
    <col collapsed="false" customWidth="true" hidden="false" outlineLevel="0" max="5890" min="5890" style="2" width="10"/>
    <col collapsed="false" customWidth="true" hidden="false" outlineLevel="0" max="5891" min="5891" style="2" width="14.33"/>
    <col collapsed="false" customWidth="true" hidden="false" outlineLevel="0" max="5892" min="5892" style="2" width="8"/>
    <col collapsed="false" customWidth="true" hidden="false" outlineLevel="0" max="5893" min="5893" style="2" width="38"/>
    <col collapsed="false" customWidth="true" hidden="false" outlineLevel="0" max="5894" min="5894" style="2" width="48.11"/>
    <col collapsed="false" customWidth="false" hidden="false" outlineLevel="0" max="6144" min="5895" style="2" width="9"/>
    <col collapsed="false" customWidth="true" hidden="false" outlineLevel="0" max="6145" min="6145" style="2" width="28.11"/>
    <col collapsed="false" customWidth="true" hidden="false" outlineLevel="0" max="6146" min="6146" style="2" width="10"/>
    <col collapsed="false" customWidth="true" hidden="false" outlineLevel="0" max="6147" min="6147" style="2" width="14.33"/>
    <col collapsed="false" customWidth="true" hidden="false" outlineLevel="0" max="6148" min="6148" style="2" width="8"/>
    <col collapsed="false" customWidth="true" hidden="false" outlineLevel="0" max="6149" min="6149" style="2" width="38"/>
    <col collapsed="false" customWidth="true" hidden="false" outlineLevel="0" max="6150" min="6150" style="2" width="48.11"/>
    <col collapsed="false" customWidth="false" hidden="false" outlineLevel="0" max="6400" min="6151" style="2" width="9"/>
    <col collapsed="false" customWidth="true" hidden="false" outlineLevel="0" max="6401" min="6401" style="2" width="28.11"/>
    <col collapsed="false" customWidth="true" hidden="false" outlineLevel="0" max="6402" min="6402" style="2" width="10"/>
    <col collapsed="false" customWidth="true" hidden="false" outlineLevel="0" max="6403" min="6403" style="2" width="14.33"/>
    <col collapsed="false" customWidth="true" hidden="false" outlineLevel="0" max="6404" min="6404" style="2" width="8"/>
    <col collapsed="false" customWidth="true" hidden="false" outlineLevel="0" max="6405" min="6405" style="2" width="38"/>
    <col collapsed="false" customWidth="true" hidden="false" outlineLevel="0" max="6406" min="6406" style="2" width="48.11"/>
    <col collapsed="false" customWidth="false" hidden="false" outlineLevel="0" max="6656" min="6407" style="2" width="9"/>
    <col collapsed="false" customWidth="true" hidden="false" outlineLevel="0" max="6657" min="6657" style="2" width="28.11"/>
    <col collapsed="false" customWidth="true" hidden="false" outlineLevel="0" max="6658" min="6658" style="2" width="10"/>
    <col collapsed="false" customWidth="true" hidden="false" outlineLevel="0" max="6659" min="6659" style="2" width="14.33"/>
    <col collapsed="false" customWidth="true" hidden="false" outlineLevel="0" max="6660" min="6660" style="2" width="8"/>
    <col collapsed="false" customWidth="true" hidden="false" outlineLevel="0" max="6661" min="6661" style="2" width="38"/>
    <col collapsed="false" customWidth="true" hidden="false" outlineLevel="0" max="6662" min="6662" style="2" width="48.11"/>
    <col collapsed="false" customWidth="false" hidden="false" outlineLevel="0" max="6912" min="6663" style="2" width="9"/>
    <col collapsed="false" customWidth="true" hidden="false" outlineLevel="0" max="6913" min="6913" style="2" width="28.11"/>
    <col collapsed="false" customWidth="true" hidden="false" outlineLevel="0" max="6914" min="6914" style="2" width="10"/>
    <col collapsed="false" customWidth="true" hidden="false" outlineLevel="0" max="6915" min="6915" style="2" width="14.33"/>
    <col collapsed="false" customWidth="true" hidden="false" outlineLevel="0" max="6916" min="6916" style="2" width="8"/>
    <col collapsed="false" customWidth="true" hidden="false" outlineLevel="0" max="6917" min="6917" style="2" width="38"/>
    <col collapsed="false" customWidth="true" hidden="false" outlineLevel="0" max="6918" min="6918" style="2" width="48.11"/>
    <col collapsed="false" customWidth="false" hidden="false" outlineLevel="0" max="7168" min="6919" style="2" width="9"/>
    <col collapsed="false" customWidth="true" hidden="false" outlineLevel="0" max="7169" min="7169" style="2" width="28.11"/>
    <col collapsed="false" customWidth="true" hidden="false" outlineLevel="0" max="7170" min="7170" style="2" width="10"/>
    <col collapsed="false" customWidth="true" hidden="false" outlineLevel="0" max="7171" min="7171" style="2" width="14.33"/>
    <col collapsed="false" customWidth="true" hidden="false" outlineLevel="0" max="7172" min="7172" style="2" width="8"/>
    <col collapsed="false" customWidth="true" hidden="false" outlineLevel="0" max="7173" min="7173" style="2" width="38"/>
    <col collapsed="false" customWidth="true" hidden="false" outlineLevel="0" max="7174" min="7174" style="2" width="48.11"/>
    <col collapsed="false" customWidth="false" hidden="false" outlineLevel="0" max="7424" min="7175" style="2" width="9"/>
    <col collapsed="false" customWidth="true" hidden="false" outlineLevel="0" max="7425" min="7425" style="2" width="28.11"/>
    <col collapsed="false" customWidth="true" hidden="false" outlineLevel="0" max="7426" min="7426" style="2" width="10"/>
    <col collapsed="false" customWidth="true" hidden="false" outlineLevel="0" max="7427" min="7427" style="2" width="14.33"/>
    <col collapsed="false" customWidth="true" hidden="false" outlineLevel="0" max="7428" min="7428" style="2" width="8"/>
    <col collapsed="false" customWidth="true" hidden="false" outlineLevel="0" max="7429" min="7429" style="2" width="38"/>
    <col collapsed="false" customWidth="true" hidden="false" outlineLevel="0" max="7430" min="7430" style="2" width="48.11"/>
    <col collapsed="false" customWidth="false" hidden="false" outlineLevel="0" max="7680" min="7431" style="2" width="9"/>
    <col collapsed="false" customWidth="true" hidden="false" outlineLevel="0" max="7681" min="7681" style="2" width="28.11"/>
    <col collapsed="false" customWidth="true" hidden="false" outlineLevel="0" max="7682" min="7682" style="2" width="10"/>
    <col collapsed="false" customWidth="true" hidden="false" outlineLevel="0" max="7683" min="7683" style="2" width="14.33"/>
    <col collapsed="false" customWidth="true" hidden="false" outlineLevel="0" max="7684" min="7684" style="2" width="8"/>
    <col collapsed="false" customWidth="true" hidden="false" outlineLevel="0" max="7685" min="7685" style="2" width="38"/>
    <col collapsed="false" customWidth="true" hidden="false" outlineLevel="0" max="7686" min="7686" style="2" width="48.11"/>
    <col collapsed="false" customWidth="false" hidden="false" outlineLevel="0" max="7936" min="7687" style="2" width="9"/>
    <col collapsed="false" customWidth="true" hidden="false" outlineLevel="0" max="7937" min="7937" style="2" width="28.11"/>
    <col collapsed="false" customWidth="true" hidden="false" outlineLevel="0" max="7938" min="7938" style="2" width="10"/>
    <col collapsed="false" customWidth="true" hidden="false" outlineLevel="0" max="7939" min="7939" style="2" width="14.33"/>
    <col collapsed="false" customWidth="true" hidden="false" outlineLevel="0" max="7940" min="7940" style="2" width="8"/>
    <col collapsed="false" customWidth="true" hidden="false" outlineLevel="0" max="7941" min="7941" style="2" width="38"/>
    <col collapsed="false" customWidth="true" hidden="false" outlineLevel="0" max="7942" min="7942" style="2" width="48.11"/>
    <col collapsed="false" customWidth="false" hidden="false" outlineLevel="0" max="8192" min="7943" style="2" width="9"/>
    <col collapsed="false" customWidth="true" hidden="false" outlineLevel="0" max="8193" min="8193" style="2" width="28.11"/>
    <col collapsed="false" customWidth="true" hidden="false" outlineLevel="0" max="8194" min="8194" style="2" width="10"/>
    <col collapsed="false" customWidth="true" hidden="false" outlineLevel="0" max="8195" min="8195" style="2" width="14.33"/>
    <col collapsed="false" customWidth="true" hidden="false" outlineLevel="0" max="8196" min="8196" style="2" width="8"/>
    <col collapsed="false" customWidth="true" hidden="false" outlineLevel="0" max="8197" min="8197" style="2" width="38"/>
    <col collapsed="false" customWidth="true" hidden="false" outlineLevel="0" max="8198" min="8198" style="2" width="48.11"/>
    <col collapsed="false" customWidth="false" hidden="false" outlineLevel="0" max="8448" min="8199" style="2" width="9"/>
    <col collapsed="false" customWidth="true" hidden="false" outlineLevel="0" max="8449" min="8449" style="2" width="28.11"/>
    <col collapsed="false" customWidth="true" hidden="false" outlineLevel="0" max="8450" min="8450" style="2" width="10"/>
    <col collapsed="false" customWidth="true" hidden="false" outlineLevel="0" max="8451" min="8451" style="2" width="14.33"/>
    <col collapsed="false" customWidth="true" hidden="false" outlineLevel="0" max="8452" min="8452" style="2" width="8"/>
    <col collapsed="false" customWidth="true" hidden="false" outlineLevel="0" max="8453" min="8453" style="2" width="38"/>
    <col collapsed="false" customWidth="true" hidden="false" outlineLevel="0" max="8454" min="8454" style="2" width="48.11"/>
    <col collapsed="false" customWidth="false" hidden="false" outlineLevel="0" max="8704" min="8455" style="2" width="9"/>
    <col collapsed="false" customWidth="true" hidden="false" outlineLevel="0" max="8705" min="8705" style="2" width="28.11"/>
    <col collapsed="false" customWidth="true" hidden="false" outlineLevel="0" max="8706" min="8706" style="2" width="10"/>
    <col collapsed="false" customWidth="true" hidden="false" outlineLevel="0" max="8707" min="8707" style="2" width="14.33"/>
    <col collapsed="false" customWidth="true" hidden="false" outlineLevel="0" max="8708" min="8708" style="2" width="8"/>
    <col collapsed="false" customWidth="true" hidden="false" outlineLevel="0" max="8709" min="8709" style="2" width="38"/>
    <col collapsed="false" customWidth="true" hidden="false" outlineLevel="0" max="8710" min="8710" style="2" width="48.11"/>
    <col collapsed="false" customWidth="false" hidden="false" outlineLevel="0" max="8960" min="8711" style="2" width="9"/>
    <col collapsed="false" customWidth="true" hidden="false" outlineLevel="0" max="8961" min="8961" style="2" width="28.11"/>
    <col collapsed="false" customWidth="true" hidden="false" outlineLevel="0" max="8962" min="8962" style="2" width="10"/>
    <col collapsed="false" customWidth="true" hidden="false" outlineLevel="0" max="8963" min="8963" style="2" width="14.33"/>
    <col collapsed="false" customWidth="true" hidden="false" outlineLevel="0" max="8964" min="8964" style="2" width="8"/>
    <col collapsed="false" customWidth="true" hidden="false" outlineLevel="0" max="8965" min="8965" style="2" width="38"/>
    <col collapsed="false" customWidth="true" hidden="false" outlineLevel="0" max="8966" min="8966" style="2" width="48.11"/>
    <col collapsed="false" customWidth="false" hidden="false" outlineLevel="0" max="9216" min="8967" style="2" width="9"/>
    <col collapsed="false" customWidth="true" hidden="false" outlineLevel="0" max="9217" min="9217" style="2" width="28.11"/>
    <col collapsed="false" customWidth="true" hidden="false" outlineLevel="0" max="9218" min="9218" style="2" width="10"/>
    <col collapsed="false" customWidth="true" hidden="false" outlineLevel="0" max="9219" min="9219" style="2" width="14.33"/>
    <col collapsed="false" customWidth="true" hidden="false" outlineLevel="0" max="9220" min="9220" style="2" width="8"/>
    <col collapsed="false" customWidth="true" hidden="false" outlineLevel="0" max="9221" min="9221" style="2" width="38"/>
    <col collapsed="false" customWidth="true" hidden="false" outlineLevel="0" max="9222" min="9222" style="2" width="48.11"/>
    <col collapsed="false" customWidth="false" hidden="false" outlineLevel="0" max="9472" min="9223" style="2" width="9"/>
    <col collapsed="false" customWidth="true" hidden="false" outlineLevel="0" max="9473" min="9473" style="2" width="28.11"/>
    <col collapsed="false" customWidth="true" hidden="false" outlineLevel="0" max="9474" min="9474" style="2" width="10"/>
    <col collapsed="false" customWidth="true" hidden="false" outlineLevel="0" max="9475" min="9475" style="2" width="14.33"/>
    <col collapsed="false" customWidth="true" hidden="false" outlineLevel="0" max="9476" min="9476" style="2" width="8"/>
    <col collapsed="false" customWidth="true" hidden="false" outlineLevel="0" max="9477" min="9477" style="2" width="38"/>
    <col collapsed="false" customWidth="true" hidden="false" outlineLevel="0" max="9478" min="9478" style="2" width="48.11"/>
    <col collapsed="false" customWidth="false" hidden="false" outlineLevel="0" max="9728" min="9479" style="2" width="9"/>
    <col collapsed="false" customWidth="true" hidden="false" outlineLevel="0" max="9729" min="9729" style="2" width="28.11"/>
    <col collapsed="false" customWidth="true" hidden="false" outlineLevel="0" max="9730" min="9730" style="2" width="10"/>
    <col collapsed="false" customWidth="true" hidden="false" outlineLevel="0" max="9731" min="9731" style="2" width="14.33"/>
    <col collapsed="false" customWidth="true" hidden="false" outlineLevel="0" max="9732" min="9732" style="2" width="8"/>
    <col collapsed="false" customWidth="true" hidden="false" outlineLevel="0" max="9733" min="9733" style="2" width="38"/>
    <col collapsed="false" customWidth="true" hidden="false" outlineLevel="0" max="9734" min="9734" style="2" width="48.11"/>
    <col collapsed="false" customWidth="false" hidden="false" outlineLevel="0" max="9984" min="9735" style="2" width="9"/>
    <col collapsed="false" customWidth="true" hidden="false" outlineLevel="0" max="9985" min="9985" style="2" width="28.11"/>
    <col collapsed="false" customWidth="true" hidden="false" outlineLevel="0" max="9986" min="9986" style="2" width="10"/>
    <col collapsed="false" customWidth="true" hidden="false" outlineLevel="0" max="9987" min="9987" style="2" width="14.33"/>
    <col collapsed="false" customWidth="true" hidden="false" outlineLevel="0" max="9988" min="9988" style="2" width="8"/>
    <col collapsed="false" customWidth="true" hidden="false" outlineLevel="0" max="9989" min="9989" style="2" width="38"/>
    <col collapsed="false" customWidth="true" hidden="false" outlineLevel="0" max="9990" min="9990" style="2" width="48.11"/>
    <col collapsed="false" customWidth="false" hidden="false" outlineLevel="0" max="10240" min="9991" style="2" width="9"/>
    <col collapsed="false" customWidth="true" hidden="false" outlineLevel="0" max="10241" min="10241" style="2" width="28.11"/>
    <col collapsed="false" customWidth="true" hidden="false" outlineLevel="0" max="10242" min="10242" style="2" width="10"/>
    <col collapsed="false" customWidth="true" hidden="false" outlineLevel="0" max="10243" min="10243" style="2" width="14.33"/>
    <col collapsed="false" customWidth="true" hidden="false" outlineLevel="0" max="10244" min="10244" style="2" width="8"/>
    <col collapsed="false" customWidth="true" hidden="false" outlineLevel="0" max="10245" min="10245" style="2" width="38"/>
    <col collapsed="false" customWidth="true" hidden="false" outlineLevel="0" max="10246" min="10246" style="2" width="48.11"/>
    <col collapsed="false" customWidth="false" hidden="false" outlineLevel="0" max="10496" min="10247" style="2" width="9"/>
    <col collapsed="false" customWidth="true" hidden="false" outlineLevel="0" max="10497" min="10497" style="2" width="28.11"/>
    <col collapsed="false" customWidth="true" hidden="false" outlineLevel="0" max="10498" min="10498" style="2" width="10"/>
    <col collapsed="false" customWidth="true" hidden="false" outlineLevel="0" max="10499" min="10499" style="2" width="14.33"/>
    <col collapsed="false" customWidth="true" hidden="false" outlineLevel="0" max="10500" min="10500" style="2" width="8"/>
    <col collapsed="false" customWidth="true" hidden="false" outlineLevel="0" max="10501" min="10501" style="2" width="38"/>
    <col collapsed="false" customWidth="true" hidden="false" outlineLevel="0" max="10502" min="10502" style="2" width="48.11"/>
    <col collapsed="false" customWidth="false" hidden="false" outlineLevel="0" max="10752" min="10503" style="2" width="9"/>
    <col collapsed="false" customWidth="true" hidden="false" outlineLevel="0" max="10753" min="10753" style="2" width="28.11"/>
    <col collapsed="false" customWidth="true" hidden="false" outlineLevel="0" max="10754" min="10754" style="2" width="10"/>
    <col collapsed="false" customWidth="true" hidden="false" outlineLevel="0" max="10755" min="10755" style="2" width="14.33"/>
    <col collapsed="false" customWidth="true" hidden="false" outlineLevel="0" max="10756" min="10756" style="2" width="8"/>
    <col collapsed="false" customWidth="true" hidden="false" outlineLevel="0" max="10757" min="10757" style="2" width="38"/>
    <col collapsed="false" customWidth="true" hidden="false" outlineLevel="0" max="10758" min="10758" style="2" width="48.11"/>
    <col collapsed="false" customWidth="false" hidden="false" outlineLevel="0" max="11008" min="10759" style="2" width="9"/>
    <col collapsed="false" customWidth="true" hidden="false" outlineLevel="0" max="11009" min="11009" style="2" width="28.11"/>
    <col collapsed="false" customWidth="true" hidden="false" outlineLevel="0" max="11010" min="11010" style="2" width="10"/>
    <col collapsed="false" customWidth="true" hidden="false" outlineLevel="0" max="11011" min="11011" style="2" width="14.33"/>
    <col collapsed="false" customWidth="true" hidden="false" outlineLevel="0" max="11012" min="11012" style="2" width="8"/>
    <col collapsed="false" customWidth="true" hidden="false" outlineLevel="0" max="11013" min="11013" style="2" width="38"/>
    <col collapsed="false" customWidth="true" hidden="false" outlineLevel="0" max="11014" min="11014" style="2" width="48.11"/>
    <col collapsed="false" customWidth="false" hidden="false" outlineLevel="0" max="11264" min="11015" style="2" width="9"/>
    <col collapsed="false" customWidth="true" hidden="false" outlineLevel="0" max="11265" min="11265" style="2" width="28.11"/>
    <col collapsed="false" customWidth="true" hidden="false" outlineLevel="0" max="11266" min="11266" style="2" width="10"/>
    <col collapsed="false" customWidth="true" hidden="false" outlineLevel="0" max="11267" min="11267" style="2" width="14.33"/>
    <col collapsed="false" customWidth="true" hidden="false" outlineLevel="0" max="11268" min="11268" style="2" width="8"/>
    <col collapsed="false" customWidth="true" hidden="false" outlineLevel="0" max="11269" min="11269" style="2" width="38"/>
    <col collapsed="false" customWidth="true" hidden="false" outlineLevel="0" max="11270" min="11270" style="2" width="48.11"/>
    <col collapsed="false" customWidth="false" hidden="false" outlineLevel="0" max="11520" min="11271" style="2" width="9"/>
    <col collapsed="false" customWidth="true" hidden="false" outlineLevel="0" max="11521" min="11521" style="2" width="28.11"/>
    <col collapsed="false" customWidth="true" hidden="false" outlineLevel="0" max="11522" min="11522" style="2" width="10"/>
    <col collapsed="false" customWidth="true" hidden="false" outlineLevel="0" max="11523" min="11523" style="2" width="14.33"/>
    <col collapsed="false" customWidth="true" hidden="false" outlineLevel="0" max="11524" min="11524" style="2" width="8"/>
    <col collapsed="false" customWidth="true" hidden="false" outlineLevel="0" max="11525" min="11525" style="2" width="38"/>
    <col collapsed="false" customWidth="true" hidden="false" outlineLevel="0" max="11526" min="11526" style="2" width="48.11"/>
    <col collapsed="false" customWidth="false" hidden="false" outlineLevel="0" max="11776" min="11527" style="2" width="9"/>
    <col collapsed="false" customWidth="true" hidden="false" outlineLevel="0" max="11777" min="11777" style="2" width="28.11"/>
    <col collapsed="false" customWidth="true" hidden="false" outlineLevel="0" max="11778" min="11778" style="2" width="10"/>
    <col collapsed="false" customWidth="true" hidden="false" outlineLevel="0" max="11779" min="11779" style="2" width="14.33"/>
    <col collapsed="false" customWidth="true" hidden="false" outlineLevel="0" max="11780" min="11780" style="2" width="8"/>
    <col collapsed="false" customWidth="true" hidden="false" outlineLevel="0" max="11781" min="11781" style="2" width="38"/>
    <col collapsed="false" customWidth="true" hidden="false" outlineLevel="0" max="11782" min="11782" style="2" width="48.11"/>
    <col collapsed="false" customWidth="false" hidden="false" outlineLevel="0" max="12032" min="11783" style="2" width="9"/>
    <col collapsed="false" customWidth="true" hidden="false" outlineLevel="0" max="12033" min="12033" style="2" width="28.11"/>
    <col collapsed="false" customWidth="true" hidden="false" outlineLevel="0" max="12034" min="12034" style="2" width="10"/>
    <col collapsed="false" customWidth="true" hidden="false" outlineLevel="0" max="12035" min="12035" style="2" width="14.33"/>
    <col collapsed="false" customWidth="true" hidden="false" outlineLevel="0" max="12036" min="12036" style="2" width="8"/>
    <col collapsed="false" customWidth="true" hidden="false" outlineLevel="0" max="12037" min="12037" style="2" width="38"/>
    <col collapsed="false" customWidth="true" hidden="false" outlineLevel="0" max="12038" min="12038" style="2" width="48.11"/>
    <col collapsed="false" customWidth="false" hidden="false" outlineLevel="0" max="12288" min="12039" style="2" width="9"/>
    <col collapsed="false" customWidth="true" hidden="false" outlineLevel="0" max="12289" min="12289" style="2" width="28.11"/>
    <col collapsed="false" customWidth="true" hidden="false" outlineLevel="0" max="12290" min="12290" style="2" width="10"/>
    <col collapsed="false" customWidth="true" hidden="false" outlineLevel="0" max="12291" min="12291" style="2" width="14.33"/>
    <col collapsed="false" customWidth="true" hidden="false" outlineLevel="0" max="12292" min="12292" style="2" width="8"/>
    <col collapsed="false" customWidth="true" hidden="false" outlineLevel="0" max="12293" min="12293" style="2" width="38"/>
    <col collapsed="false" customWidth="true" hidden="false" outlineLevel="0" max="12294" min="12294" style="2" width="48.11"/>
    <col collapsed="false" customWidth="false" hidden="false" outlineLevel="0" max="12544" min="12295" style="2" width="9"/>
    <col collapsed="false" customWidth="true" hidden="false" outlineLevel="0" max="12545" min="12545" style="2" width="28.11"/>
    <col collapsed="false" customWidth="true" hidden="false" outlineLevel="0" max="12546" min="12546" style="2" width="10"/>
    <col collapsed="false" customWidth="true" hidden="false" outlineLevel="0" max="12547" min="12547" style="2" width="14.33"/>
    <col collapsed="false" customWidth="true" hidden="false" outlineLevel="0" max="12548" min="12548" style="2" width="8"/>
    <col collapsed="false" customWidth="true" hidden="false" outlineLevel="0" max="12549" min="12549" style="2" width="38"/>
    <col collapsed="false" customWidth="true" hidden="false" outlineLevel="0" max="12550" min="12550" style="2" width="48.11"/>
    <col collapsed="false" customWidth="false" hidden="false" outlineLevel="0" max="12800" min="12551" style="2" width="9"/>
    <col collapsed="false" customWidth="true" hidden="false" outlineLevel="0" max="12801" min="12801" style="2" width="28.11"/>
    <col collapsed="false" customWidth="true" hidden="false" outlineLevel="0" max="12802" min="12802" style="2" width="10"/>
    <col collapsed="false" customWidth="true" hidden="false" outlineLevel="0" max="12803" min="12803" style="2" width="14.33"/>
    <col collapsed="false" customWidth="true" hidden="false" outlineLevel="0" max="12804" min="12804" style="2" width="8"/>
    <col collapsed="false" customWidth="true" hidden="false" outlineLevel="0" max="12805" min="12805" style="2" width="38"/>
    <col collapsed="false" customWidth="true" hidden="false" outlineLevel="0" max="12806" min="12806" style="2" width="48.11"/>
    <col collapsed="false" customWidth="false" hidden="false" outlineLevel="0" max="13056" min="12807" style="2" width="9"/>
    <col collapsed="false" customWidth="true" hidden="false" outlineLevel="0" max="13057" min="13057" style="2" width="28.11"/>
    <col collapsed="false" customWidth="true" hidden="false" outlineLevel="0" max="13058" min="13058" style="2" width="10"/>
    <col collapsed="false" customWidth="true" hidden="false" outlineLevel="0" max="13059" min="13059" style="2" width="14.33"/>
    <col collapsed="false" customWidth="true" hidden="false" outlineLevel="0" max="13060" min="13060" style="2" width="8"/>
    <col collapsed="false" customWidth="true" hidden="false" outlineLevel="0" max="13061" min="13061" style="2" width="38"/>
    <col collapsed="false" customWidth="true" hidden="false" outlineLevel="0" max="13062" min="13062" style="2" width="48.11"/>
    <col collapsed="false" customWidth="false" hidden="false" outlineLevel="0" max="13312" min="13063" style="2" width="9"/>
    <col collapsed="false" customWidth="true" hidden="false" outlineLevel="0" max="13313" min="13313" style="2" width="28.11"/>
    <col collapsed="false" customWidth="true" hidden="false" outlineLevel="0" max="13314" min="13314" style="2" width="10"/>
    <col collapsed="false" customWidth="true" hidden="false" outlineLevel="0" max="13315" min="13315" style="2" width="14.33"/>
    <col collapsed="false" customWidth="true" hidden="false" outlineLevel="0" max="13316" min="13316" style="2" width="8"/>
    <col collapsed="false" customWidth="true" hidden="false" outlineLevel="0" max="13317" min="13317" style="2" width="38"/>
    <col collapsed="false" customWidth="true" hidden="false" outlineLevel="0" max="13318" min="13318" style="2" width="48.11"/>
    <col collapsed="false" customWidth="false" hidden="false" outlineLevel="0" max="13568" min="13319" style="2" width="9"/>
    <col collapsed="false" customWidth="true" hidden="false" outlineLevel="0" max="13569" min="13569" style="2" width="28.11"/>
    <col collapsed="false" customWidth="true" hidden="false" outlineLevel="0" max="13570" min="13570" style="2" width="10"/>
    <col collapsed="false" customWidth="true" hidden="false" outlineLevel="0" max="13571" min="13571" style="2" width="14.33"/>
    <col collapsed="false" customWidth="true" hidden="false" outlineLevel="0" max="13572" min="13572" style="2" width="8"/>
    <col collapsed="false" customWidth="true" hidden="false" outlineLevel="0" max="13573" min="13573" style="2" width="38"/>
    <col collapsed="false" customWidth="true" hidden="false" outlineLevel="0" max="13574" min="13574" style="2" width="48.11"/>
    <col collapsed="false" customWidth="false" hidden="false" outlineLevel="0" max="13824" min="13575" style="2" width="9"/>
    <col collapsed="false" customWidth="true" hidden="false" outlineLevel="0" max="13825" min="13825" style="2" width="28.11"/>
    <col collapsed="false" customWidth="true" hidden="false" outlineLevel="0" max="13826" min="13826" style="2" width="10"/>
    <col collapsed="false" customWidth="true" hidden="false" outlineLevel="0" max="13827" min="13827" style="2" width="14.33"/>
    <col collapsed="false" customWidth="true" hidden="false" outlineLevel="0" max="13828" min="13828" style="2" width="8"/>
    <col collapsed="false" customWidth="true" hidden="false" outlineLevel="0" max="13829" min="13829" style="2" width="38"/>
    <col collapsed="false" customWidth="true" hidden="false" outlineLevel="0" max="13830" min="13830" style="2" width="48.11"/>
    <col collapsed="false" customWidth="false" hidden="false" outlineLevel="0" max="14080" min="13831" style="2" width="9"/>
    <col collapsed="false" customWidth="true" hidden="false" outlineLevel="0" max="14081" min="14081" style="2" width="28.11"/>
    <col collapsed="false" customWidth="true" hidden="false" outlineLevel="0" max="14082" min="14082" style="2" width="10"/>
    <col collapsed="false" customWidth="true" hidden="false" outlineLevel="0" max="14083" min="14083" style="2" width="14.33"/>
    <col collapsed="false" customWidth="true" hidden="false" outlineLevel="0" max="14084" min="14084" style="2" width="8"/>
    <col collapsed="false" customWidth="true" hidden="false" outlineLevel="0" max="14085" min="14085" style="2" width="38"/>
    <col collapsed="false" customWidth="true" hidden="false" outlineLevel="0" max="14086" min="14086" style="2" width="48.11"/>
    <col collapsed="false" customWidth="false" hidden="false" outlineLevel="0" max="14336" min="14087" style="2" width="9"/>
    <col collapsed="false" customWidth="true" hidden="false" outlineLevel="0" max="14337" min="14337" style="2" width="28.11"/>
    <col collapsed="false" customWidth="true" hidden="false" outlineLevel="0" max="14338" min="14338" style="2" width="10"/>
    <col collapsed="false" customWidth="true" hidden="false" outlineLevel="0" max="14339" min="14339" style="2" width="14.33"/>
    <col collapsed="false" customWidth="true" hidden="false" outlineLevel="0" max="14340" min="14340" style="2" width="8"/>
    <col collapsed="false" customWidth="true" hidden="false" outlineLevel="0" max="14341" min="14341" style="2" width="38"/>
    <col collapsed="false" customWidth="true" hidden="false" outlineLevel="0" max="14342" min="14342" style="2" width="48.11"/>
    <col collapsed="false" customWidth="false" hidden="false" outlineLevel="0" max="14592" min="14343" style="2" width="9"/>
    <col collapsed="false" customWidth="true" hidden="false" outlineLevel="0" max="14593" min="14593" style="2" width="28.11"/>
    <col collapsed="false" customWidth="true" hidden="false" outlineLevel="0" max="14594" min="14594" style="2" width="10"/>
    <col collapsed="false" customWidth="true" hidden="false" outlineLevel="0" max="14595" min="14595" style="2" width="14.33"/>
    <col collapsed="false" customWidth="true" hidden="false" outlineLevel="0" max="14596" min="14596" style="2" width="8"/>
    <col collapsed="false" customWidth="true" hidden="false" outlineLevel="0" max="14597" min="14597" style="2" width="38"/>
    <col collapsed="false" customWidth="true" hidden="false" outlineLevel="0" max="14598" min="14598" style="2" width="48.11"/>
    <col collapsed="false" customWidth="false" hidden="false" outlineLevel="0" max="14848" min="14599" style="2" width="9"/>
    <col collapsed="false" customWidth="true" hidden="false" outlineLevel="0" max="14849" min="14849" style="2" width="28.11"/>
    <col collapsed="false" customWidth="true" hidden="false" outlineLevel="0" max="14850" min="14850" style="2" width="10"/>
    <col collapsed="false" customWidth="true" hidden="false" outlineLevel="0" max="14851" min="14851" style="2" width="14.33"/>
    <col collapsed="false" customWidth="true" hidden="false" outlineLevel="0" max="14852" min="14852" style="2" width="8"/>
    <col collapsed="false" customWidth="true" hidden="false" outlineLevel="0" max="14853" min="14853" style="2" width="38"/>
    <col collapsed="false" customWidth="true" hidden="false" outlineLevel="0" max="14854" min="14854" style="2" width="48.11"/>
    <col collapsed="false" customWidth="false" hidden="false" outlineLevel="0" max="15104" min="14855" style="2" width="9"/>
    <col collapsed="false" customWidth="true" hidden="false" outlineLevel="0" max="15105" min="15105" style="2" width="28.11"/>
    <col collapsed="false" customWidth="true" hidden="false" outlineLevel="0" max="15106" min="15106" style="2" width="10"/>
    <col collapsed="false" customWidth="true" hidden="false" outlineLevel="0" max="15107" min="15107" style="2" width="14.33"/>
    <col collapsed="false" customWidth="true" hidden="false" outlineLevel="0" max="15108" min="15108" style="2" width="8"/>
    <col collapsed="false" customWidth="true" hidden="false" outlineLevel="0" max="15109" min="15109" style="2" width="38"/>
    <col collapsed="false" customWidth="true" hidden="false" outlineLevel="0" max="15110" min="15110" style="2" width="48.11"/>
    <col collapsed="false" customWidth="false" hidden="false" outlineLevel="0" max="15360" min="15111" style="2" width="9"/>
    <col collapsed="false" customWidth="true" hidden="false" outlineLevel="0" max="15361" min="15361" style="2" width="28.11"/>
    <col collapsed="false" customWidth="true" hidden="false" outlineLevel="0" max="15362" min="15362" style="2" width="10"/>
    <col collapsed="false" customWidth="true" hidden="false" outlineLevel="0" max="15363" min="15363" style="2" width="14.33"/>
    <col collapsed="false" customWidth="true" hidden="false" outlineLevel="0" max="15364" min="15364" style="2" width="8"/>
    <col collapsed="false" customWidth="true" hidden="false" outlineLevel="0" max="15365" min="15365" style="2" width="38"/>
    <col collapsed="false" customWidth="true" hidden="false" outlineLevel="0" max="15366" min="15366" style="2" width="48.11"/>
    <col collapsed="false" customWidth="false" hidden="false" outlineLevel="0" max="15616" min="15367" style="2" width="9"/>
    <col collapsed="false" customWidth="true" hidden="false" outlineLevel="0" max="15617" min="15617" style="2" width="28.11"/>
    <col collapsed="false" customWidth="true" hidden="false" outlineLevel="0" max="15618" min="15618" style="2" width="10"/>
    <col collapsed="false" customWidth="true" hidden="false" outlineLevel="0" max="15619" min="15619" style="2" width="14.33"/>
    <col collapsed="false" customWidth="true" hidden="false" outlineLevel="0" max="15620" min="15620" style="2" width="8"/>
    <col collapsed="false" customWidth="true" hidden="false" outlineLevel="0" max="15621" min="15621" style="2" width="38"/>
    <col collapsed="false" customWidth="true" hidden="false" outlineLevel="0" max="15622" min="15622" style="2" width="48.11"/>
    <col collapsed="false" customWidth="false" hidden="false" outlineLevel="0" max="15872" min="15623" style="2" width="9"/>
    <col collapsed="false" customWidth="true" hidden="false" outlineLevel="0" max="15873" min="15873" style="2" width="28.11"/>
    <col collapsed="false" customWidth="true" hidden="false" outlineLevel="0" max="15874" min="15874" style="2" width="10"/>
    <col collapsed="false" customWidth="true" hidden="false" outlineLevel="0" max="15875" min="15875" style="2" width="14.33"/>
    <col collapsed="false" customWidth="true" hidden="false" outlineLevel="0" max="15876" min="15876" style="2" width="8"/>
    <col collapsed="false" customWidth="true" hidden="false" outlineLevel="0" max="15877" min="15877" style="2" width="38"/>
    <col collapsed="false" customWidth="true" hidden="false" outlineLevel="0" max="15878" min="15878" style="2" width="48.11"/>
    <col collapsed="false" customWidth="false" hidden="false" outlineLevel="0" max="16128" min="15879" style="2" width="9"/>
    <col collapsed="false" customWidth="true" hidden="false" outlineLevel="0" max="16129" min="16129" style="2" width="28.11"/>
    <col collapsed="false" customWidth="true" hidden="false" outlineLevel="0" max="16130" min="16130" style="2" width="10"/>
    <col collapsed="false" customWidth="true" hidden="false" outlineLevel="0" max="16131" min="16131" style="2" width="14.33"/>
    <col collapsed="false" customWidth="true" hidden="false" outlineLevel="0" max="16132" min="16132" style="2" width="8"/>
    <col collapsed="false" customWidth="true" hidden="false" outlineLevel="0" max="16133" min="16133" style="2" width="38"/>
    <col collapsed="false" customWidth="true" hidden="false" outlineLevel="0" max="16134" min="16134" style="2" width="48.11"/>
    <col collapsed="false" customWidth="false" hidden="false" outlineLevel="0" max="16384" min="16135" style="2" width="9"/>
  </cols>
  <sheetData>
    <row r="2" s="5" customFormat="true" ht="75.75" hidden="false" customHeight="true" outlineLevel="0" collapsed="false">
      <c r="A2" s="3"/>
      <c r="B2" s="4" t="s">
        <v>0</v>
      </c>
      <c r="C2" s="4"/>
      <c r="D2" s="4"/>
      <c r="E2" s="4"/>
      <c r="F2" s="4"/>
    </row>
    <row r="3" customFormat="false" ht="12.75" hidden="false" customHeight="true" outlineLevel="0" collapsed="false">
      <c r="A3" s="6"/>
      <c r="B3" s="7"/>
      <c r="E3" s="8"/>
    </row>
    <row r="4" customFormat="false" ht="14.25" hidden="false" customHeight="true" outlineLevel="0" collapsed="false">
      <c r="A4" s="9" t="s">
        <v>1</v>
      </c>
      <c r="B4" s="10" t="s">
        <v>2</v>
      </c>
      <c r="C4" s="10"/>
      <c r="D4" s="10"/>
      <c r="E4" s="9" t="s">
        <v>3</v>
      </c>
      <c r="F4" s="11" t="s">
        <v>4</v>
      </c>
    </row>
    <row r="5" customFormat="false" ht="14.25" hidden="false" customHeight="true" outlineLevel="0" collapsed="false">
      <c r="A5" s="9" t="s">
        <v>5</v>
      </c>
      <c r="B5" s="10" t="s">
        <v>6</v>
      </c>
      <c r="C5" s="10"/>
      <c r="D5" s="10"/>
      <c r="E5" s="9" t="s">
        <v>7</v>
      </c>
      <c r="F5" s="12" t="n">
        <v>46323</v>
      </c>
    </row>
    <row r="6" customFormat="false" ht="15.75" hidden="false" customHeight="true" outlineLevel="0" collapsed="false">
      <c r="A6" s="13" t="s">
        <v>8</v>
      </c>
      <c r="B6" s="14" t="str">
        <f aca="false">B5&amp;"_"&amp;"API_TestReport"&amp;"_"&amp;"v"&amp;F6</f>
        <v>PBL6_API_TestReport_v1.1</v>
      </c>
      <c r="C6" s="14"/>
      <c r="D6" s="14"/>
      <c r="E6" s="9" t="s">
        <v>9</v>
      </c>
      <c r="F6" s="15" t="s">
        <v>10</v>
      </c>
    </row>
    <row r="7" customFormat="false" ht="12.75" hidden="false" customHeight="true" outlineLevel="0" collapsed="false">
      <c r="A7" s="16"/>
      <c r="B7" s="17"/>
      <c r="E7" s="18"/>
      <c r="F7" s="7"/>
    </row>
    <row r="8" s="2" customFormat="true" ht="12.75" hidden="false" customHeight="true" outlineLevel="0" collapsed="false"/>
    <row r="9" customFormat="false" ht="12.75" hidden="false" customHeight="true" outlineLevel="0" collapsed="false">
      <c r="A9" s="19" t="s">
        <v>11</v>
      </c>
    </row>
    <row r="10" s="23" customFormat="true" ht="12.75" hidden="false" customHeight="true" outlineLevel="0" collapsed="false">
      <c r="A10" s="20" t="s">
        <v>12</v>
      </c>
      <c r="B10" s="21" t="s">
        <v>9</v>
      </c>
      <c r="C10" s="21" t="s">
        <v>13</v>
      </c>
      <c r="D10" s="21" t="s">
        <v>14</v>
      </c>
      <c r="E10" s="21" t="s">
        <v>15</v>
      </c>
      <c r="F10" s="22" t="s">
        <v>16</v>
      </c>
    </row>
    <row r="11" s="29" customFormat="true" ht="45" hidden="false" customHeight="true" outlineLevel="0" collapsed="false">
      <c r="A11" s="24" t="n">
        <v>46323</v>
      </c>
      <c r="B11" s="25" t="s">
        <v>17</v>
      </c>
      <c r="C11" s="26" t="s">
        <v>18</v>
      </c>
      <c r="D11" s="26" t="s">
        <v>19</v>
      </c>
      <c r="E11" s="27" t="s">
        <v>20</v>
      </c>
      <c r="F11" s="28" t="s">
        <v>21</v>
      </c>
    </row>
    <row r="12" s="29" customFormat="true" ht="58.5" hidden="false" customHeight="true" outlineLevel="0" collapsed="false">
      <c r="A12" s="24" t="n">
        <v>46323</v>
      </c>
      <c r="B12" s="25" t="s">
        <v>10</v>
      </c>
      <c r="C12" s="26" t="s">
        <v>22</v>
      </c>
      <c r="D12" s="26" t="s">
        <v>23</v>
      </c>
      <c r="E12" s="27" t="s">
        <v>24</v>
      </c>
      <c r="F12" s="28" t="s">
        <v>25</v>
      </c>
    </row>
    <row r="13" s="29" customFormat="true" ht="19.5" hidden="false" customHeight="true" outlineLevel="0" collapsed="false">
      <c r="A13" s="30"/>
      <c r="B13" s="31"/>
      <c r="C13" s="32"/>
      <c r="D13" s="32"/>
      <c r="E13" s="32"/>
      <c r="F13" s="33"/>
    </row>
    <row r="14" s="29" customFormat="true" ht="21.75" hidden="false" customHeight="true" outlineLevel="0" collapsed="false">
      <c r="A14" s="30"/>
      <c r="B14" s="31"/>
      <c r="C14" s="32"/>
      <c r="D14" s="32"/>
      <c r="E14" s="32"/>
      <c r="F14" s="33"/>
    </row>
    <row r="15" s="29" customFormat="true" ht="19.5" hidden="false" customHeight="true" outlineLevel="0" collapsed="false">
      <c r="A15" s="30"/>
      <c r="B15" s="31"/>
      <c r="C15" s="32"/>
      <c r="D15" s="32"/>
      <c r="E15" s="32"/>
      <c r="F15" s="33"/>
    </row>
    <row r="16" s="29" customFormat="true" ht="21.75" hidden="false" customHeight="true" outlineLevel="0" collapsed="false">
      <c r="A16" s="30"/>
      <c r="B16" s="31"/>
      <c r="C16" s="32"/>
      <c r="D16" s="32"/>
      <c r="E16" s="32"/>
      <c r="F16" s="33"/>
    </row>
    <row r="17" s="29" customFormat="true" ht="19.5" hidden="false" customHeight="true" outlineLevel="0" collapsed="false">
      <c r="A17" s="34"/>
      <c r="B17" s="35"/>
      <c r="C17" s="36"/>
      <c r="D17" s="36"/>
      <c r="E17" s="36"/>
      <c r="F17" s="37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" defaultRowHeight="12.75" zeroHeight="false" outlineLevelRow="0" outlineLevelCol="0"/>
  <cols>
    <col collapsed="false" customWidth="true" hidden="false" outlineLevel="0" max="1" min="1" style="8" width="1.33"/>
    <col collapsed="false" customWidth="true" hidden="false" outlineLevel="0" max="2" min="2" style="38" width="11.78"/>
    <col collapsed="false" customWidth="true" hidden="false" outlineLevel="0" max="3" min="3" style="39" width="26.44"/>
    <col collapsed="false" customWidth="true" hidden="false" outlineLevel="0" max="4" min="4" style="39" width="26"/>
    <col collapsed="false" customWidth="true" hidden="false" outlineLevel="0" max="5" min="5" style="39" width="34"/>
    <col collapsed="false" customWidth="true" hidden="false" outlineLevel="0" max="6" min="6" style="39" width="30.66"/>
    <col collapsed="false" customWidth="false" hidden="false" outlineLevel="0" max="16384" min="7" style="8" width="9"/>
  </cols>
  <sheetData>
    <row r="1" customFormat="false" ht="24" hidden="false" customHeight="true" outlineLevel="0" collapsed="false">
      <c r="B1" s="40"/>
      <c r="D1" s="41" t="s">
        <v>26</v>
      </c>
      <c r="E1" s="42"/>
    </row>
    <row r="2" customFormat="false" ht="13.5" hidden="false" customHeight="true" outlineLevel="0" collapsed="false">
      <c r="B2" s="40"/>
      <c r="D2" s="43"/>
      <c r="E2" s="43"/>
    </row>
    <row r="3" customFormat="false" ht="12.75" hidden="false" customHeight="true" outlineLevel="0" collapsed="false">
      <c r="B3" s="44" t="s">
        <v>1</v>
      </c>
      <c r="C3" s="44"/>
      <c r="D3" s="45" t="str">
        <f aca="false">Cover!B4</f>
        <v>Xây dựng nền tảng đặt vé xe trực tuyến theo kiến trúc Microservices</v>
      </c>
      <c r="E3" s="45"/>
      <c r="F3" s="45"/>
    </row>
    <row r="4" customFormat="false" ht="12.75" hidden="false" customHeight="true" outlineLevel="0" collapsed="false">
      <c r="B4" s="44" t="s">
        <v>5</v>
      </c>
      <c r="C4" s="44"/>
      <c r="D4" s="45" t="str">
        <f aca="false">Cover!B5</f>
        <v>PBL6</v>
      </c>
      <c r="E4" s="45"/>
      <c r="F4" s="45"/>
    </row>
    <row r="5" s="46" customFormat="true" ht="174.75" hidden="false" customHeight="true" outlineLevel="0" collapsed="false">
      <c r="B5" s="47" t="s">
        <v>27</v>
      </c>
      <c r="C5" s="47"/>
      <c r="D5" s="48" t="s">
        <v>28</v>
      </c>
      <c r="E5" s="48"/>
      <c r="F5" s="48"/>
    </row>
    <row r="6" s="8" customFormat="true" ht="12.75" hidden="false" customHeight="true" outlineLevel="0" collapsed="false">
      <c r="B6" s="49"/>
    </row>
    <row r="7" s="50" customFormat="true" ht="12.75" hidden="false" customHeight="true" outlineLevel="0" collapsed="false">
      <c r="B7" s="51"/>
      <c r="C7" s="52"/>
      <c r="D7" s="52"/>
      <c r="E7" s="52"/>
      <c r="F7" s="52"/>
    </row>
    <row r="8" s="53" customFormat="true" ht="21" hidden="false" customHeight="true" outlineLevel="0" collapsed="false">
      <c r="B8" s="54" t="s">
        <v>29</v>
      </c>
      <c r="C8" s="55" t="s">
        <v>30</v>
      </c>
      <c r="D8" s="55" t="s">
        <v>31</v>
      </c>
      <c r="E8" s="56" t="s">
        <v>32</v>
      </c>
      <c r="F8" s="57" t="s">
        <v>33</v>
      </c>
    </row>
    <row r="9" customFormat="false" ht="30" hidden="false" customHeight="true" outlineLevel="0" collapsed="false">
      <c r="B9" s="58" t="n">
        <v>1</v>
      </c>
      <c r="C9" s="59" t="s">
        <v>34</v>
      </c>
      <c r="D9" s="60" t="s">
        <v>35</v>
      </c>
      <c r="E9" s="61" t="s">
        <v>36</v>
      </c>
      <c r="F9" s="62" t="s">
        <v>37</v>
      </c>
    </row>
    <row r="10" customFormat="false" ht="30" hidden="false" customHeight="true" outlineLevel="0" collapsed="false">
      <c r="B10" s="58" t="n">
        <v>2</v>
      </c>
      <c r="C10" s="59" t="s">
        <v>38</v>
      </c>
      <c r="D10" s="60" t="s">
        <v>35</v>
      </c>
      <c r="E10" s="61" t="s">
        <v>39</v>
      </c>
      <c r="F10" s="62" t="s">
        <v>40</v>
      </c>
    </row>
    <row r="11" customFormat="false" ht="30" hidden="false" customHeight="true" outlineLevel="0" collapsed="false">
      <c r="B11" s="58" t="n">
        <v>3</v>
      </c>
      <c r="C11" s="59" t="s">
        <v>41</v>
      </c>
      <c r="D11" s="60" t="s">
        <v>35</v>
      </c>
      <c r="E11" s="61" t="s">
        <v>42</v>
      </c>
      <c r="F11" s="62" t="s">
        <v>43</v>
      </c>
    </row>
    <row r="12" customFormat="false" ht="30" hidden="false" customHeight="true" outlineLevel="0" collapsed="false">
      <c r="B12" s="58" t="n">
        <v>4</v>
      </c>
      <c r="C12" s="59" t="s">
        <v>44</v>
      </c>
      <c r="D12" s="60" t="s">
        <v>35</v>
      </c>
      <c r="E12" s="61" t="s">
        <v>45</v>
      </c>
      <c r="F12" s="62" t="s">
        <v>46</v>
      </c>
    </row>
    <row r="13" customFormat="false" ht="30" hidden="false" customHeight="true" outlineLevel="0" collapsed="false">
      <c r="B13" s="58" t="n">
        <v>5</v>
      </c>
      <c r="C13" s="59" t="s">
        <v>47</v>
      </c>
      <c r="D13" s="60" t="s">
        <v>35</v>
      </c>
      <c r="E13" s="61" t="s">
        <v>48</v>
      </c>
      <c r="F13" s="62" t="s">
        <v>49</v>
      </c>
    </row>
    <row r="14" customFormat="false" ht="30" hidden="false" customHeight="true" outlineLevel="0" collapsed="false">
      <c r="B14" s="58" t="n">
        <v>6</v>
      </c>
      <c r="C14" s="59" t="s">
        <v>50</v>
      </c>
      <c r="D14" s="60" t="s">
        <v>35</v>
      </c>
      <c r="E14" s="61" t="s">
        <v>51</v>
      </c>
      <c r="F14" s="62" t="s">
        <v>52</v>
      </c>
    </row>
    <row r="15" customFormat="false" ht="30" hidden="false" customHeight="true" outlineLevel="0" collapsed="false">
      <c r="B15" s="58" t="n">
        <v>7</v>
      </c>
      <c r="C15" s="59" t="s">
        <v>53</v>
      </c>
      <c r="D15" s="60" t="s">
        <v>35</v>
      </c>
      <c r="E15" s="61" t="s">
        <v>54</v>
      </c>
      <c r="F15" s="62" t="s">
        <v>55</v>
      </c>
    </row>
    <row r="16" customFormat="false" ht="30" hidden="false" customHeight="true" outlineLevel="0" collapsed="false">
      <c r="B16" s="58" t="n">
        <v>8</v>
      </c>
      <c r="C16" s="59" t="s">
        <v>56</v>
      </c>
      <c r="D16" s="60" t="s">
        <v>35</v>
      </c>
      <c r="E16" s="61" t="s">
        <v>57</v>
      </c>
      <c r="F16" s="62" t="s">
        <v>46</v>
      </c>
    </row>
    <row r="17" customFormat="false" ht="30" hidden="false" customHeight="true" outlineLevel="0" collapsed="false">
      <c r="B17" s="58" t="n">
        <v>9</v>
      </c>
      <c r="C17" s="59" t="s">
        <v>58</v>
      </c>
      <c r="D17" s="60" t="s">
        <v>59</v>
      </c>
      <c r="E17" s="61" t="s">
        <v>60</v>
      </c>
      <c r="F17" s="62" t="s">
        <v>61</v>
      </c>
    </row>
    <row r="18" customFormat="false" ht="30" hidden="false" customHeight="true" outlineLevel="0" collapsed="false">
      <c r="B18" s="58" t="n">
        <v>10</v>
      </c>
      <c r="C18" s="59" t="s">
        <v>62</v>
      </c>
      <c r="D18" s="60" t="s">
        <v>59</v>
      </c>
      <c r="E18" s="61" t="s">
        <v>63</v>
      </c>
      <c r="F18" s="62" t="s">
        <v>64</v>
      </c>
    </row>
    <row r="19" customFormat="false" ht="30" hidden="false" customHeight="true" outlineLevel="0" collapsed="false">
      <c r="B19" s="58" t="n">
        <v>11</v>
      </c>
      <c r="C19" s="59" t="s">
        <v>65</v>
      </c>
      <c r="D19" s="60" t="s">
        <v>59</v>
      </c>
      <c r="E19" s="61" t="s">
        <v>66</v>
      </c>
      <c r="F19" s="62" t="s">
        <v>67</v>
      </c>
    </row>
    <row r="20" customFormat="false" ht="30" hidden="false" customHeight="true" outlineLevel="0" collapsed="false">
      <c r="B20" s="58" t="n">
        <v>12</v>
      </c>
      <c r="C20" s="59" t="s">
        <v>68</v>
      </c>
      <c r="D20" s="60" t="s">
        <v>59</v>
      </c>
      <c r="E20" s="61" t="s">
        <v>69</v>
      </c>
      <c r="F20" s="62" t="s">
        <v>70</v>
      </c>
    </row>
    <row r="21" customFormat="false" ht="30" hidden="false" customHeight="true" outlineLevel="0" collapsed="false">
      <c r="B21" s="58" t="n">
        <v>13</v>
      </c>
      <c r="C21" s="59" t="s">
        <v>71</v>
      </c>
      <c r="D21" s="60" t="s">
        <v>59</v>
      </c>
      <c r="E21" s="61" t="s">
        <v>72</v>
      </c>
      <c r="F21" s="62" t="s">
        <v>70</v>
      </c>
    </row>
    <row r="22" customFormat="false" ht="30" hidden="false" customHeight="true" outlineLevel="0" collapsed="false">
      <c r="B22" s="58" t="n">
        <v>14</v>
      </c>
      <c r="C22" s="59" t="s">
        <v>73</v>
      </c>
      <c r="D22" s="60" t="s">
        <v>59</v>
      </c>
      <c r="E22" s="61" t="s">
        <v>74</v>
      </c>
      <c r="F22" s="62" t="s">
        <v>70</v>
      </c>
    </row>
    <row r="23" customFormat="false" ht="30" hidden="false" customHeight="true" outlineLevel="0" collapsed="false">
      <c r="B23" s="58" t="n">
        <v>15</v>
      </c>
      <c r="C23" s="59" t="s">
        <v>75</v>
      </c>
      <c r="D23" s="60" t="s">
        <v>59</v>
      </c>
      <c r="E23" s="61" t="s">
        <v>76</v>
      </c>
      <c r="F23" s="62" t="s">
        <v>70</v>
      </c>
    </row>
    <row r="24" customFormat="false" ht="43.5" hidden="false" customHeight="true" outlineLevel="0" collapsed="false">
      <c r="B24" s="58" t="n">
        <v>16</v>
      </c>
      <c r="C24" s="59" t="s">
        <v>77</v>
      </c>
      <c r="D24" s="60" t="s">
        <v>59</v>
      </c>
      <c r="E24" s="61" t="s">
        <v>78</v>
      </c>
      <c r="F24" s="62" t="s">
        <v>79</v>
      </c>
    </row>
    <row r="25" customFormat="false" ht="43.5" hidden="false" customHeight="true" outlineLevel="0" collapsed="false">
      <c r="B25" s="58" t="n">
        <v>17</v>
      </c>
      <c r="C25" s="59" t="s">
        <v>80</v>
      </c>
      <c r="D25" s="60" t="s">
        <v>59</v>
      </c>
      <c r="E25" s="61" t="s">
        <v>81</v>
      </c>
      <c r="F25" s="62" t="s">
        <v>82</v>
      </c>
    </row>
    <row r="26" customFormat="false" ht="43.5" hidden="false" customHeight="true" outlineLevel="0" collapsed="false">
      <c r="B26" s="58" t="n">
        <v>18</v>
      </c>
      <c r="C26" s="59" t="s">
        <v>83</v>
      </c>
      <c r="D26" s="60" t="s">
        <v>59</v>
      </c>
      <c r="E26" s="61" t="s">
        <v>84</v>
      </c>
      <c r="F26" s="62" t="s">
        <v>85</v>
      </c>
    </row>
    <row r="27" customFormat="false" ht="43.5" hidden="false" customHeight="true" outlineLevel="0" collapsed="false">
      <c r="B27" s="58" t="n">
        <v>19</v>
      </c>
      <c r="C27" s="59" t="s">
        <v>86</v>
      </c>
      <c r="D27" s="60" t="s">
        <v>87</v>
      </c>
      <c r="E27" s="61" t="s">
        <v>88</v>
      </c>
      <c r="F27" s="62" t="s">
        <v>89</v>
      </c>
    </row>
    <row r="28" customFormat="false" ht="43.5" hidden="false" customHeight="true" outlineLevel="0" collapsed="false">
      <c r="B28" s="58" t="n">
        <v>20</v>
      </c>
      <c r="C28" s="59" t="s">
        <v>90</v>
      </c>
      <c r="D28" s="60" t="s">
        <v>87</v>
      </c>
      <c r="E28" s="61" t="s">
        <v>91</v>
      </c>
      <c r="F28" s="62" t="s">
        <v>92</v>
      </c>
    </row>
    <row r="29" customFormat="false" ht="30" hidden="false" customHeight="true" outlineLevel="0" collapsed="false">
      <c r="B29" s="58" t="n">
        <v>21</v>
      </c>
      <c r="C29" s="59" t="s">
        <v>93</v>
      </c>
      <c r="D29" s="60" t="s">
        <v>87</v>
      </c>
      <c r="E29" s="61" t="s">
        <v>94</v>
      </c>
      <c r="F29" s="62" t="s">
        <v>49</v>
      </c>
    </row>
    <row r="30" customFormat="false" ht="43.5" hidden="false" customHeight="true" outlineLevel="0" collapsed="false">
      <c r="B30" s="58" t="n">
        <v>22</v>
      </c>
      <c r="C30" s="59" t="s">
        <v>95</v>
      </c>
      <c r="D30" s="60" t="s">
        <v>87</v>
      </c>
      <c r="E30" s="61" t="s">
        <v>96</v>
      </c>
      <c r="F30" s="62" t="s">
        <v>97</v>
      </c>
    </row>
    <row r="31" customFormat="false" ht="43.5" hidden="false" customHeight="true" outlineLevel="0" collapsed="false">
      <c r="B31" s="58" t="n">
        <v>23</v>
      </c>
      <c r="C31" s="59" t="s">
        <v>98</v>
      </c>
      <c r="D31" s="60" t="s">
        <v>87</v>
      </c>
      <c r="E31" s="61" t="s">
        <v>99</v>
      </c>
      <c r="F31" s="62" t="s">
        <v>97</v>
      </c>
    </row>
    <row r="32" customFormat="false" ht="43.5" hidden="false" customHeight="true" outlineLevel="0" collapsed="false">
      <c r="B32" s="58" t="n">
        <v>24</v>
      </c>
      <c r="C32" s="59" t="s">
        <v>100</v>
      </c>
      <c r="D32" s="60" t="s">
        <v>87</v>
      </c>
      <c r="E32" s="61" t="s">
        <v>101</v>
      </c>
      <c r="F32" s="62" t="s">
        <v>97</v>
      </c>
    </row>
    <row r="33" customFormat="false" ht="43.5" hidden="false" customHeight="true" outlineLevel="0" collapsed="false">
      <c r="B33" s="58" t="n">
        <v>25</v>
      </c>
      <c r="C33" s="59" t="s">
        <v>102</v>
      </c>
      <c r="D33" s="60" t="s">
        <v>87</v>
      </c>
      <c r="E33" s="61" t="s">
        <v>103</v>
      </c>
      <c r="F33" s="62" t="s">
        <v>104</v>
      </c>
    </row>
    <row r="34" customFormat="false" ht="30" hidden="false" customHeight="true" outlineLevel="0" collapsed="false">
      <c r="B34" s="58" t="n">
        <v>26</v>
      </c>
      <c r="C34" s="59" t="s">
        <v>105</v>
      </c>
      <c r="D34" s="60" t="s">
        <v>87</v>
      </c>
      <c r="E34" s="61" t="s">
        <v>106</v>
      </c>
      <c r="F34" s="62" t="s">
        <v>52</v>
      </c>
    </row>
    <row r="35" customFormat="false" ht="43.5" hidden="false" customHeight="true" outlineLevel="0" collapsed="false">
      <c r="B35" s="58" t="n">
        <v>27</v>
      </c>
      <c r="C35" s="59" t="s">
        <v>107</v>
      </c>
      <c r="D35" s="60" t="s">
        <v>87</v>
      </c>
      <c r="E35" s="61" t="s">
        <v>108</v>
      </c>
      <c r="F35" s="62" t="s">
        <v>49</v>
      </c>
    </row>
    <row r="36" customFormat="false" ht="30" hidden="false" customHeight="true" outlineLevel="0" collapsed="false">
      <c r="B36" s="58" t="n">
        <v>28</v>
      </c>
      <c r="C36" s="59" t="s">
        <v>109</v>
      </c>
      <c r="D36" s="60" t="s">
        <v>110</v>
      </c>
      <c r="E36" s="61" t="s">
        <v>111</v>
      </c>
      <c r="F36" s="62" t="s">
        <v>49</v>
      </c>
    </row>
    <row r="37" customFormat="false" ht="43.5" hidden="false" customHeight="true" outlineLevel="0" collapsed="false">
      <c r="B37" s="58" t="n">
        <v>29</v>
      </c>
      <c r="C37" s="59" t="s">
        <v>112</v>
      </c>
      <c r="D37" s="60" t="s">
        <v>110</v>
      </c>
      <c r="E37" s="61" t="s">
        <v>113</v>
      </c>
      <c r="F37" s="62" t="s">
        <v>114</v>
      </c>
    </row>
    <row r="38" customFormat="false" ht="30" hidden="false" customHeight="true" outlineLevel="0" collapsed="false">
      <c r="B38" s="58" t="n">
        <v>30</v>
      </c>
      <c r="C38" s="59" t="s">
        <v>115</v>
      </c>
      <c r="D38" s="60" t="s">
        <v>110</v>
      </c>
      <c r="E38" s="61" t="s">
        <v>116</v>
      </c>
      <c r="F38" s="62" t="s">
        <v>52</v>
      </c>
    </row>
    <row r="39" customFormat="false" ht="30" hidden="false" customHeight="true" outlineLevel="0" collapsed="false">
      <c r="B39" s="58" t="n">
        <v>31</v>
      </c>
      <c r="C39" s="59" t="s">
        <v>117</v>
      </c>
      <c r="D39" s="60" t="s">
        <v>118</v>
      </c>
      <c r="E39" s="61" t="s">
        <v>119</v>
      </c>
      <c r="F39" s="62" t="s">
        <v>49</v>
      </c>
    </row>
    <row r="40" customFormat="false" ht="43.5" hidden="false" customHeight="true" outlineLevel="0" collapsed="false">
      <c r="B40" s="58" t="n">
        <v>32</v>
      </c>
      <c r="C40" s="59" t="s">
        <v>120</v>
      </c>
      <c r="D40" s="60" t="s">
        <v>121</v>
      </c>
      <c r="E40" s="61" t="s">
        <v>122</v>
      </c>
      <c r="F40" s="62" t="s">
        <v>52</v>
      </c>
    </row>
    <row r="41" customFormat="false" ht="30" hidden="false" customHeight="true" outlineLevel="0" collapsed="false">
      <c r="B41" s="58" t="n">
        <v>33</v>
      </c>
      <c r="C41" s="59" t="s">
        <v>123</v>
      </c>
      <c r="D41" s="60" t="s">
        <v>121</v>
      </c>
      <c r="E41" s="61" t="s">
        <v>124</v>
      </c>
      <c r="F41" s="62" t="s">
        <v>52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Auth_Service!A1" display="Auth_Service"/>
    <hyperlink ref="D10" location="Auth_Service!A1" display="Auth_Service"/>
    <hyperlink ref="D11" location="Auth_Service!A1" display="Auth_Service"/>
    <hyperlink ref="D12" location="Auth_Service!A1" display="Auth_Service"/>
    <hyperlink ref="D13" location="Auth_Service!A1" display="Auth_Service"/>
    <hyperlink ref="D14" location="Auth_Service!A1" display="Auth_Service"/>
    <hyperlink ref="D15" location="Auth_Service!A1" display="Auth_Service"/>
    <hyperlink ref="D16" location="Auth_Service!A1" display="Auth_Service"/>
    <hyperlink ref="D17" location="Trip_Service!A1" display="Trip_Service"/>
    <hyperlink ref="D18" location="Trip_Service!A1" display="Trip_Service"/>
    <hyperlink ref="D19" location="Trip_Service!A1" display="Trip_Service"/>
    <hyperlink ref="D20" location="Trip_Service!A1" display="Trip_Service"/>
    <hyperlink ref="D21" location="Trip_Service!A1" display="Trip_Service"/>
    <hyperlink ref="D22" location="Trip_Service!A1" display="Trip_Service"/>
    <hyperlink ref="D23" location="Trip_Service!A1" display="Trip_Service"/>
    <hyperlink ref="D24" location="Trip_Service!A1" display="Trip_Service"/>
    <hyperlink ref="D25" location="Trip_Service!A1" display="Trip_Service"/>
    <hyperlink ref="D26" location="Trip_Service!A1" display="Trip_Service"/>
    <hyperlink ref="D27" location="Booking_Service!A1" display="Booking_Service"/>
    <hyperlink ref="D28" location="Booking_Service!A1" display="Booking_Service"/>
    <hyperlink ref="D29" location="Booking_Service!A1" display="Booking_Service"/>
    <hyperlink ref="D30" location="Booking_Service!A1" display="Booking_Service"/>
    <hyperlink ref="D31" location="Booking_Service!A1" display="Booking_Service"/>
    <hyperlink ref="D32" location="Booking_Service!A1" display="Booking_Service"/>
    <hyperlink ref="D33" location="Booking_Service!A1" display="Booking_Service"/>
    <hyperlink ref="D34" location="Booking_Service!A1" display="Booking_Service"/>
    <hyperlink ref="D35" location="Booking_Service!A1" display="Booking_Service"/>
    <hyperlink ref="D36" location="Payment_Service!A1" display="Payment_Service"/>
    <hyperlink ref="D37" location="Payment_Service!A1" display="Payment_Service"/>
    <hyperlink ref="D38" location="Payment_Service!A1" display="Payment_Service"/>
    <hyperlink ref="D39" location="Notification_Service!A1" display="Notification_Service"/>
    <hyperlink ref="D40" location="Report_Service!A1" display="Report_Service"/>
    <hyperlink ref="D41" location="Report_Service!A1" display="Report_Service"/>
  </hyperlinks>
  <printOptions headings="false" gridLines="false" gridLinesSet="true" horizontalCentered="false" verticalCentered="false"/>
  <pageMargins left="0.747916666666667" right="0.747916666666667" top="0.984027777777778" bottom="1.15069444444444" header="0.511811023622047" footer="0.9840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9" defaultRowHeight="12.75" zeroHeight="false" outlineLevelRow="0" outlineLevelCol="0"/>
  <cols>
    <col collapsed="false" customWidth="true" hidden="false" outlineLevel="0" max="1" min="1" style="8" width="4.44"/>
    <col collapsed="false" customWidth="true" hidden="false" outlineLevel="0" max="2" min="2" style="8" width="18.33"/>
    <col collapsed="false" customWidth="true" hidden="false" outlineLevel="0" max="3" min="3" style="8" width="19.33"/>
    <col collapsed="false" customWidth="true" hidden="false" outlineLevel="0" max="6" min="4" style="8" width="11.66"/>
    <col collapsed="false" customWidth="false" hidden="false" outlineLevel="0" max="7" min="7" style="8" width="9"/>
    <col collapsed="false" customWidth="true" hidden="false" outlineLevel="0" max="8" min="8" style="8" width="35.44"/>
    <col collapsed="false" customWidth="true" hidden="false" outlineLevel="0" max="9" min="9" style="8" width="33.11"/>
    <col collapsed="false" customWidth="false" hidden="false" outlineLevel="0" max="16384" min="10" style="8" width="9"/>
  </cols>
  <sheetData>
    <row r="1" customFormat="false" ht="25.5" hidden="false" customHeight="true" outlineLevel="0" collapsed="false">
      <c r="B1" s="63" t="s">
        <v>125</v>
      </c>
      <c r="C1" s="63"/>
      <c r="D1" s="63"/>
      <c r="E1" s="63"/>
      <c r="F1" s="63"/>
      <c r="G1" s="63"/>
      <c r="H1" s="63"/>
    </row>
    <row r="2" customFormat="false" ht="14.25" hidden="false" customHeight="true" outlineLevel="0" collapsed="false">
      <c r="A2" s="64"/>
      <c r="B2" s="64"/>
      <c r="H2" s="65"/>
    </row>
    <row r="3" customFormat="false" ht="12" hidden="false" customHeight="true" outlineLevel="0" collapsed="false">
      <c r="B3" s="66" t="s">
        <v>1</v>
      </c>
      <c r="C3" s="45" t="str">
        <f aca="false">Cover!B4</f>
        <v>Xây dựng nền tảng đặt vé xe trực tuyến theo kiến trúc Microservices</v>
      </c>
      <c r="D3" s="45"/>
      <c r="E3" s="67" t="s">
        <v>3</v>
      </c>
      <c r="F3" s="67"/>
      <c r="G3" s="68"/>
      <c r="H3" s="69" t="s">
        <v>4</v>
      </c>
    </row>
    <row r="4" customFormat="false" ht="12" hidden="false" customHeight="true" outlineLevel="0" collapsed="false">
      <c r="B4" s="66" t="s">
        <v>5</v>
      </c>
      <c r="C4" s="45" t="str">
        <f aca="false">Cover!B5</f>
        <v>PBL6</v>
      </c>
      <c r="D4" s="45"/>
      <c r="E4" s="67" t="s">
        <v>126</v>
      </c>
      <c r="F4" s="67"/>
      <c r="G4" s="68"/>
      <c r="H4" s="69"/>
    </row>
    <row r="5" customFormat="false" ht="12" hidden="false" customHeight="true" outlineLevel="0" collapsed="false">
      <c r="B5" s="70" t="s">
        <v>8</v>
      </c>
      <c r="C5" s="45" t="str">
        <f aca="false">C4&amp;"_"&amp;"API Test Report"&amp;"_"&amp;"v"&amp;Cover!F6</f>
        <v>PBL6_API Test Report_v1.1</v>
      </c>
      <c r="D5" s="45"/>
      <c r="E5" s="67" t="s">
        <v>7</v>
      </c>
      <c r="F5" s="67"/>
      <c r="G5" s="68"/>
      <c r="H5" s="71" t="n">
        <f aca="false">Cover!F5</f>
        <v>46323</v>
      </c>
    </row>
    <row r="6" customFormat="false" ht="78.75" hidden="false" customHeight="true" outlineLevel="0" collapsed="false">
      <c r="A6" s="64"/>
      <c r="B6" s="70" t="s">
        <v>127</v>
      </c>
      <c r="C6" s="72" t="s">
        <v>128</v>
      </c>
      <c r="D6" s="72"/>
      <c r="E6" s="72"/>
      <c r="F6" s="72"/>
      <c r="G6" s="72"/>
      <c r="H6" s="72"/>
    </row>
    <row r="7" customFormat="false" ht="14.25" hidden="false" customHeight="true" outlineLevel="0" collapsed="false">
      <c r="A7" s="64"/>
      <c r="B7" s="73"/>
      <c r="C7" s="74"/>
      <c r="H7" s="65"/>
    </row>
    <row r="8" customFormat="false" ht="12.75" hidden="false" customHeight="true" outlineLevel="0" collapsed="false">
      <c r="B8" s="73"/>
      <c r="C8" s="74"/>
      <c r="H8" s="65"/>
    </row>
    <row r="10" customFormat="false" ht="12.75" hidden="false" customHeight="true" outlineLevel="0" collapsed="false">
      <c r="A10" s="75"/>
      <c r="B10" s="76" t="s">
        <v>29</v>
      </c>
      <c r="C10" s="77" t="s">
        <v>129</v>
      </c>
      <c r="D10" s="78" t="s">
        <v>130</v>
      </c>
      <c r="E10" s="77" t="s">
        <v>131</v>
      </c>
      <c r="F10" s="77" t="s">
        <v>132</v>
      </c>
      <c r="G10" s="79" t="s">
        <v>133</v>
      </c>
      <c r="H10" s="80" t="s">
        <v>134</v>
      </c>
    </row>
    <row r="11" customFormat="false" ht="30" hidden="false" customHeight="true" outlineLevel="0" collapsed="false">
      <c r="A11" s="75"/>
      <c r="B11" s="81" t="n">
        <v>1</v>
      </c>
      <c r="C11" s="82" t="str">
        <f aca="false">Auth_Service!B2</f>
        <v>Auth Service</v>
      </c>
      <c r="D11" s="83" t="n">
        <f aca="false">Auth_Service!B6</f>
        <v>0</v>
      </c>
      <c r="E11" s="83" t="n">
        <f aca="false">Auth_Service!C6</f>
        <v>0</v>
      </c>
      <c r="F11" s="83" t="n">
        <f aca="false">Auth_Service!D6</f>
        <v>38</v>
      </c>
      <c r="G11" s="83" t="n">
        <f aca="false">Auth_Service!E6</f>
        <v>0</v>
      </c>
      <c r="H11" s="84" t="n">
        <f aca="false">Auth_Service!B4</f>
        <v>38</v>
      </c>
    </row>
    <row r="12" customFormat="false" ht="30" hidden="false" customHeight="true" outlineLevel="0" collapsed="false">
      <c r="A12" s="75"/>
      <c r="B12" s="81" t="n">
        <v>2</v>
      </c>
      <c r="C12" s="82" t="str">
        <f aca="false">Trip_Service!B2</f>
        <v>Trip Service</v>
      </c>
      <c r="D12" s="83" t="n">
        <f aca="false">Trip_Service!B6</f>
        <v>0</v>
      </c>
      <c r="E12" s="83" t="n">
        <f aca="false">Trip_Service!C6</f>
        <v>0</v>
      </c>
      <c r="F12" s="83" t="n">
        <f aca="false">Trip_Service!D6</f>
        <v>37</v>
      </c>
      <c r="G12" s="83" t="n">
        <f aca="false">Trip_Service!E6</f>
        <v>0</v>
      </c>
      <c r="H12" s="84" t="n">
        <f aca="false">Trip_Service!B4</f>
        <v>37</v>
      </c>
    </row>
    <row r="13" customFormat="false" ht="30" hidden="false" customHeight="true" outlineLevel="0" collapsed="false">
      <c r="A13" s="75"/>
      <c r="B13" s="81" t="n">
        <v>3</v>
      </c>
      <c r="C13" s="82" t="str">
        <f aca="false">Booking_Service!B2</f>
        <v>Booking Service</v>
      </c>
      <c r="D13" s="83" t="n">
        <f aca="false">Booking_Service!B6</f>
        <v>0</v>
      </c>
      <c r="E13" s="83" t="n">
        <f aca="false">Booking_Service!C6</f>
        <v>0</v>
      </c>
      <c r="F13" s="83" t="n">
        <f aca="false">Booking_Service!D6</f>
        <v>54</v>
      </c>
      <c r="G13" s="83" t="n">
        <f aca="false">Booking_Service!E6</f>
        <v>0</v>
      </c>
      <c r="H13" s="84" t="n">
        <f aca="false">Booking_Service!B4</f>
        <v>54</v>
      </c>
    </row>
    <row r="14" customFormat="false" ht="30" hidden="false" customHeight="true" outlineLevel="0" collapsed="false">
      <c r="A14" s="75"/>
      <c r="B14" s="81" t="n">
        <v>4</v>
      </c>
      <c r="C14" s="82" t="str">
        <f aca="false">Payment_Service!B2</f>
        <v>Payment Service</v>
      </c>
      <c r="D14" s="83" t="n">
        <f aca="false">Payment_Service!B6</f>
        <v>0</v>
      </c>
      <c r="E14" s="83" t="n">
        <f aca="false">Payment_Service!C6</f>
        <v>0</v>
      </c>
      <c r="F14" s="83" t="n">
        <f aca="false">Payment_Service!D6</f>
        <v>13</v>
      </c>
      <c r="G14" s="83" t="n">
        <f aca="false">Payment_Service!E6</f>
        <v>0</v>
      </c>
      <c r="H14" s="84" t="n">
        <f aca="false">Payment_Service!B4</f>
        <v>13</v>
      </c>
    </row>
    <row r="15" customFormat="false" ht="30" hidden="false" customHeight="true" outlineLevel="0" collapsed="false">
      <c r="B15" s="81" t="n">
        <v>5</v>
      </c>
      <c r="C15" s="82" t="str">
        <f aca="false">Notification_Service!B2</f>
        <v>Notification Service</v>
      </c>
      <c r="D15" s="83" t="n">
        <f aca="false">Notification_Service!B6</f>
        <v>0</v>
      </c>
      <c r="E15" s="83" t="n">
        <f aca="false">Notification_Service!C6</f>
        <v>0</v>
      </c>
      <c r="F15" s="83" t="n">
        <f aca="false">Notification_Service!D6</f>
        <v>3</v>
      </c>
      <c r="G15" s="83" t="n">
        <f aca="false">Notification_Service!E6</f>
        <v>0</v>
      </c>
      <c r="H15" s="84" t="n">
        <f aca="false">Notification_Service!B4</f>
        <v>3</v>
      </c>
    </row>
    <row r="16" customFormat="false" ht="30" hidden="false" customHeight="true" outlineLevel="0" collapsed="false">
      <c r="B16" s="81" t="n">
        <v>6</v>
      </c>
      <c r="C16" s="82" t="str">
        <f aca="false">Report_Service!B2</f>
        <v>Report Service</v>
      </c>
      <c r="D16" s="83" t="n">
        <f aca="false">Report_Service!B6</f>
        <v>0</v>
      </c>
      <c r="E16" s="83" t="n">
        <f aca="false">Report_Service!C6</f>
        <v>0</v>
      </c>
      <c r="F16" s="83" t="n">
        <f aca="false">Report_Service!D6</f>
        <v>7</v>
      </c>
      <c r="G16" s="83" t="n">
        <f aca="false">Report_Service!E6</f>
        <v>0</v>
      </c>
      <c r="H16" s="84" t="n">
        <f aca="false">Report_Service!B4</f>
        <v>7</v>
      </c>
    </row>
    <row r="18" customFormat="false" ht="12.75" hidden="false" customHeight="true" outlineLevel="0" collapsed="false">
      <c r="B18" s="85"/>
      <c r="C18" s="86" t="s">
        <v>135</v>
      </c>
      <c r="D18" s="87" t="n">
        <f aca="false">SUM(D11:D16)</f>
        <v>0</v>
      </c>
      <c r="E18" s="87" t="n">
        <f aca="false">SUM(E11:E16)</f>
        <v>0</v>
      </c>
      <c r="F18" s="87" t="n">
        <f aca="false">SUM(F11:F16)</f>
        <v>152</v>
      </c>
      <c r="G18" s="87" t="n">
        <f aca="false">SUM(G11:G16)</f>
        <v>0</v>
      </c>
      <c r="H18" s="88" t="n">
        <f aca="false">SUM(H11:H16)</f>
        <v>152</v>
      </c>
    </row>
    <row r="20" customFormat="false" ht="12.75" hidden="false" customHeight="true" outlineLevel="0" collapsed="false">
      <c r="C20" s="89" t="s">
        <v>136</v>
      </c>
      <c r="E20" s="90" t="n">
        <f aca="false">(D18+E18)*100/(H18-G18)</f>
        <v>0</v>
      </c>
      <c r="F20" s="8" t="s">
        <v>137</v>
      </c>
      <c r="H20" s="91"/>
    </row>
    <row r="21" customFormat="false" ht="12.75" hidden="false" customHeight="true" outlineLevel="0" collapsed="false">
      <c r="C21" s="89" t="s">
        <v>138</v>
      </c>
      <c r="E21" s="90" t="n">
        <f aca="false">D18*100/(H18-G18)</f>
        <v>0</v>
      </c>
      <c r="F21" s="8" t="s">
        <v>137</v>
      </c>
      <c r="H21" s="9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B4" activeCellId="0" sqref="B4"/>
    </sheetView>
  </sheetViews>
  <sheetFormatPr defaultColWidth="9" defaultRowHeight="12.75" zeroHeight="false" outlineLevelRow="0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2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98" customFormat="true" ht="15" hidden="false" customHeight="true" outlineLevel="0" collapsed="false">
      <c r="A2" s="93" t="s">
        <v>139</v>
      </c>
      <c r="B2" s="94" t="s">
        <v>140</v>
      </c>
      <c r="C2" s="94"/>
      <c r="D2" s="94"/>
      <c r="E2" s="94"/>
      <c r="F2" s="95"/>
      <c r="G2" s="96"/>
      <c r="H2" s="46"/>
      <c r="I2" s="95"/>
      <c r="J2" s="96"/>
      <c r="K2" s="46"/>
      <c r="L2" s="95"/>
      <c r="M2" s="96"/>
      <c r="N2" s="46"/>
      <c r="O2" s="46"/>
      <c r="P2" s="46"/>
      <c r="Q2" s="97"/>
      <c r="R2" s="98" t="s">
        <v>130</v>
      </c>
    </row>
    <row r="3" s="98" customFormat="true" ht="48" hidden="false" customHeight="true" outlineLevel="0" collapsed="false">
      <c r="A3" s="99" t="s">
        <v>141</v>
      </c>
      <c r="B3" s="100" t="s">
        <v>142</v>
      </c>
      <c r="C3" s="100"/>
      <c r="D3" s="100"/>
      <c r="E3" s="100"/>
      <c r="F3" s="95"/>
      <c r="G3" s="96"/>
      <c r="H3" s="46"/>
      <c r="I3" s="95"/>
      <c r="J3" s="96"/>
      <c r="K3" s="46"/>
      <c r="L3" s="95"/>
      <c r="M3" s="96"/>
      <c r="N3" s="46"/>
      <c r="O3" s="46"/>
      <c r="P3" s="46"/>
      <c r="Q3" s="97"/>
      <c r="R3" s="98" t="s">
        <v>131</v>
      </c>
    </row>
    <row r="4" s="98" customFormat="true" ht="18" hidden="false" customHeight="true" outlineLevel="0" collapsed="false">
      <c r="A4" s="99" t="s">
        <v>143</v>
      </c>
      <c r="B4" s="100" t="n">
        <f aca="false">COUNTA(B11:B1000)</f>
        <v>38</v>
      </c>
      <c r="C4" s="100"/>
      <c r="D4" s="100"/>
      <c r="E4" s="100"/>
      <c r="F4" s="95"/>
      <c r="G4" s="96"/>
      <c r="H4" s="46"/>
      <c r="I4" s="95"/>
      <c r="J4" s="96"/>
      <c r="K4" s="46"/>
      <c r="L4" s="95"/>
      <c r="M4" s="96"/>
      <c r="N4" s="46"/>
      <c r="O4" s="46"/>
      <c r="P4" s="46"/>
      <c r="Q4" s="97"/>
      <c r="R4" s="98" t="s">
        <v>132</v>
      </c>
    </row>
    <row r="5" s="98" customFormat="true" ht="19.5" hidden="false" customHeight="true" outlineLevel="0" collapsed="false">
      <c r="A5" s="101" t="s">
        <v>144</v>
      </c>
      <c r="B5" s="102" t="s">
        <v>130</v>
      </c>
      <c r="C5" s="102" t="s">
        <v>131</v>
      </c>
      <c r="D5" s="102" t="s">
        <v>132</v>
      </c>
      <c r="E5" s="103" t="s">
        <v>133</v>
      </c>
      <c r="F5" s="104"/>
      <c r="G5" s="104"/>
      <c r="H5" s="105"/>
      <c r="I5" s="104"/>
      <c r="J5" s="104"/>
      <c r="K5" s="105"/>
      <c r="L5" s="104"/>
      <c r="M5" s="104"/>
      <c r="N5" s="105"/>
      <c r="O5" s="105"/>
      <c r="P5" s="105"/>
      <c r="Q5" s="106"/>
      <c r="R5" s="98" t="s">
        <v>133</v>
      </c>
    </row>
    <row r="6" s="98" customFormat="true" ht="15" hidden="false" customHeight="true" outlineLevel="0" collapsed="false">
      <c r="A6" s="101" t="s">
        <v>145</v>
      </c>
      <c r="B6" s="107" t="n">
        <f aca="false">COUNTIF($F$11:$F$1000,B$5)</f>
        <v>0</v>
      </c>
      <c r="C6" s="107" t="n">
        <f aca="false">COUNTIF($F$11:$F$1000,C$5)</f>
        <v>0</v>
      </c>
      <c r="D6" s="107" t="n">
        <f aca="false">COUNTIF($F$11:$F$1000,D$5)</f>
        <v>38</v>
      </c>
      <c r="E6" s="108" t="n">
        <f aca="false">COUNTIF($F$11:$F$1000,E$5)</f>
        <v>0</v>
      </c>
      <c r="F6" s="109"/>
      <c r="G6" s="109"/>
      <c r="H6" s="105"/>
      <c r="I6" s="109"/>
      <c r="J6" s="109"/>
      <c r="K6" s="105"/>
      <c r="L6" s="109"/>
      <c r="M6" s="109"/>
      <c r="N6" s="105"/>
      <c r="O6" s="105"/>
      <c r="P6" s="105"/>
      <c r="Q6" s="106"/>
    </row>
    <row r="7" s="98" customFormat="true" ht="15" hidden="false" customHeight="true" outlineLevel="0" collapsed="false">
      <c r="A7" s="101" t="s">
        <v>146</v>
      </c>
      <c r="B7" s="107" t="n">
        <f aca="false">COUNTIF($I$11:$I$1000,B$5)</f>
        <v>0</v>
      </c>
      <c r="C7" s="107" t="n">
        <f aca="false">COUNTIF($I$11:$I$1000,C$5)</f>
        <v>0</v>
      </c>
      <c r="D7" s="107" t="n">
        <f aca="false">COUNTIF($I$11:$I$1000,D$5)</f>
        <v>38</v>
      </c>
      <c r="E7" s="108" t="n">
        <f aca="false">COUNTIF($I$11:$I$1000,E$5)</f>
        <v>0</v>
      </c>
      <c r="F7" s="109"/>
      <c r="G7" s="109"/>
      <c r="H7" s="105"/>
      <c r="I7" s="109"/>
      <c r="J7" s="109"/>
      <c r="K7" s="105"/>
      <c r="L7" s="109"/>
      <c r="M7" s="109"/>
      <c r="N7" s="105"/>
      <c r="O7" s="105"/>
      <c r="P7" s="105"/>
      <c r="Q7" s="106"/>
    </row>
    <row r="8" s="98" customFormat="true" ht="15" hidden="false" customHeight="true" outlineLevel="0" collapsed="false">
      <c r="A8" s="110" t="s">
        <v>147</v>
      </c>
      <c r="B8" s="111" t="n">
        <f aca="false">COUNTIF($L$11:$L$1000,B$5)</f>
        <v>0</v>
      </c>
      <c r="C8" s="111" t="n">
        <f aca="false">COUNTIF($L$11:$L$1000,C$5)</f>
        <v>0</v>
      </c>
      <c r="D8" s="111" t="n">
        <f aca="false">COUNTIF($L$11:$L$1000,D$5)</f>
        <v>38</v>
      </c>
      <c r="E8" s="112" t="n">
        <f aca="false">COUNTIF($L$11:$L$1000,E$5)</f>
        <v>0</v>
      </c>
      <c r="F8" s="109"/>
      <c r="G8" s="109"/>
      <c r="H8" s="105"/>
      <c r="I8" s="109"/>
      <c r="J8" s="109"/>
      <c r="K8" s="105"/>
      <c r="L8" s="109"/>
      <c r="M8" s="109"/>
      <c r="N8" s="105"/>
      <c r="O8" s="105"/>
      <c r="P8" s="105"/>
      <c r="Q8" s="106"/>
    </row>
    <row r="9" s="98" customFormat="true" ht="15" hidden="false" customHeight="true" outlineLevel="0" collapsed="false">
      <c r="A9" s="105"/>
      <c r="B9" s="105"/>
      <c r="C9" s="105"/>
      <c r="D9" s="105"/>
      <c r="E9" s="105"/>
      <c r="F9" s="91"/>
      <c r="G9" s="105"/>
      <c r="H9" s="105"/>
      <c r="I9" s="91"/>
      <c r="J9" s="105"/>
      <c r="K9" s="105"/>
      <c r="L9" s="91"/>
      <c r="M9" s="105"/>
      <c r="N9" s="105"/>
      <c r="O9" s="105"/>
      <c r="P9" s="105"/>
      <c r="Q9" s="106"/>
    </row>
    <row r="10" s="98" customFormat="true" ht="25.5" hidden="false" customHeight="true" outlineLevel="0" collapsed="false">
      <c r="A10" s="113" t="s">
        <v>148</v>
      </c>
      <c r="B10" s="113" t="s">
        <v>149</v>
      </c>
      <c r="C10" s="113" t="s">
        <v>150</v>
      </c>
      <c r="D10" s="113" t="s">
        <v>151</v>
      </c>
      <c r="E10" s="113" t="s">
        <v>152</v>
      </c>
      <c r="F10" s="113" t="s">
        <v>145</v>
      </c>
      <c r="G10" s="113" t="s">
        <v>153</v>
      </c>
      <c r="H10" s="113" t="s">
        <v>154</v>
      </c>
      <c r="I10" s="113" t="s">
        <v>146</v>
      </c>
      <c r="J10" s="113" t="s">
        <v>153</v>
      </c>
      <c r="K10" s="113" t="s">
        <v>154</v>
      </c>
      <c r="L10" s="113" t="s">
        <v>147</v>
      </c>
      <c r="M10" s="113" t="s">
        <v>153</v>
      </c>
      <c r="N10" s="113" t="s">
        <v>154</v>
      </c>
      <c r="O10" s="113" t="s">
        <v>155</v>
      </c>
      <c r="Q10" s="114"/>
    </row>
    <row r="11" customFormat="false" ht="15.75" hidden="false" customHeight="true" outlineLevel="0" collapsed="false">
      <c r="A11" s="115" t="s">
        <v>34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  <c r="Q11" s="118"/>
    </row>
    <row r="12" customFormat="false" ht="45" hidden="false" customHeight="true" outlineLevel="0" collapsed="false">
      <c r="A12" s="119" t="s">
        <v>156</v>
      </c>
      <c r="B12" s="48" t="s">
        <v>157</v>
      </c>
      <c r="C12" s="48" t="s">
        <v>158</v>
      </c>
      <c r="D12" s="120" t="s">
        <v>159</v>
      </c>
      <c r="E12" s="120" t="s">
        <v>160</v>
      </c>
      <c r="F12" s="119" t="s">
        <v>132</v>
      </c>
      <c r="G12" s="119"/>
      <c r="H12" s="119"/>
      <c r="I12" s="119" t="s">
        <v>132</v>
      </c>
      <c r="J12" s="119"/>
      <c r="K12" s="119"/>
      <c r="L12" s="119" t="s">
        <v>132</v>
      </c>
      <c r="M12" s="119"/>
      <c r="N12" s="119"/>
      <c r="O12" s="119"/>
      <c r="Q12" s="121"/>
    </row>
    <row r="13" customFormat="false" ht="58.5" hidden="false" customHeight="true" outlineLevel="0" collapsed="false">
      <c r="A13" s="119" t="s">
        <v>161</v>
      </c>
      <c r="B13" s="48" t="s">
        <v>162</v>
      </c>
      <c r="C13" s="48" t="s">
        <v>163</v>
      </c>
      <c r="D13" s="120" t="s">
        <v>164</v>
      </c>
      <c r="E13" s="120" t="s">
        <v>165</v>
      </c>
      <c r="F13" s="119" t="s">
        <v>132</v>
      </c>
      <c r="G13" s="119"/>
      <c r="H13" s="119"/>
      <c r="I13" s="119" t="s">
        <v>132</v>
      </c>
      <c r="J13" s="119"/>
      <c r="K13" s="119"/>
      <c r="L13" s="119" t="s">
        <v>132</v>
      </c>
      <c r="M13" s="119"/>
      <c r="N13" s="119"/>
      <c r="O13" s="119"/>
      <c r="Q13" s="121"/>
    </row>
    <row r="14" customFormat="false" ht="32.25" hidden="false" customHeight="true" outlineLevel="0" collapsed="false">
      <c r="A14" s="119" t="s">
        <v>166</v>
      </c>
      <c r="B14" s="48" t="s">
        <v>167</v>
      </c>
      <c r="C14" s="48" t="s">
        <v>168</v>
      </c>
      <c r="D14" s="120" t="s">
        <v>169</v>
      </c>
      <c r="E14" s="120" t="s">
        <v>170</v>
      </c>
      <c r="F14" s="119" t="s">
        <v>132</v>
      </c>
      <c r="G14" s="119"/>
      <c r="H14" s="119"/>
      <c r="I14" s="119" t="s">
        <v>132</v>
      </c>
      <c r="J14" s="119"/>
      <c r="K14" s="119"/>
      <c r="L14" s="119" t="s">
        <v>132</v>
      </c>
      <c r="M14" s="119"/>
      <c r="N14" s="119"/>
      <c r="O14" s="119"/>
      <c r="Q14" s="121"/>
    </row>
    <row r="15" customFormat="false" ht="58.5" hidden="false" customHeight="true" outlineLevel="0" collapsed="false">
      <c r="A15" s="119" t="s">
        <v>171</v>
      </c>
      <c r="B15" s="48" t="s">
        <v>172</v>
      </c>
      <c r="C15" s="48" t="s">
        <v>173</v>
      </c>
      <c r="D15" s="120" t="s">
        <v>174</v>
      </c>
      <c r="E15" s="120" t="s">
        <v>46</v>
      </c>
      <c r="F15" s="119" t="s">
        <v>132</v>
      </c>
      <c r="G15" s="119"/>
      <c r="H15" s="119"/>
      <c r="I15" s="119" t="s">
        <v>132</v>
      </c>
      <c r="J15" s="119"/>
      <c r="K15" s="119"/>
      <c r="L15" s="119" t="s">
        <v>132</v>
      </c>
      <c r="M15" s="119"/>
      <c r="N15" s="119"/>
      <c r="O15" s="119"/>
      <c r="Q15" s="118"/>
    </row>
    <row r="16" customFormat="false" ht="58.5" hidden="false" customHeight="true" outlineLevel="0" collapsed="false">
      <c r="A16" s="119" t="s">
        <v>175</v>
      </c>
      <c r="B16" s="48" t="s">
        <v>176</v>
      </c>
      <c r="C16" s="48" t="s">
        <v>177</v>
      </c>
      <c r="D16" s="120" t="s">
        <v>178</v>
      </c>
      <c r="E16" s="120" t="s">
        <v>179</v>
      </c>
      <c r="F16" s="119" t="s">
        <v>132</v>
      </c>
      <c r="G16" s="119"/>
      <c r="H16" s="119"/>
      <c r="I16" s="119" t="s">
        <v>132</v>
      </c>
      <c r="J16" s="119"/>
      <c r="K16" s="119"/>
      <c r="L16" s="119" t="s">
        <v>132</v>
      </c>
      <c r="M16" s="119"/>
      <c r="N16" s="119"/>
      <c r="O16" s="119"/>
      <c r="Q16" s="121"/>
    </row>
    <row r="17" customFormat="false" ht="58.5" hidden="false" customHeight="true" outlineLevel="0" collapsed="false">
      <c r="A17" s="119" t="s">
        <v>180</v>
      </c>
      <c r="B17" s="48" t="s">
        <v>181</v>
      </c>
      <c r="C17" s="48" t="s">
        <v>182</v>
      </c>
      <c r="D17" s="120" t="s">
        <v>183</v>
      </c>
      <c r="E17" s="120" t="s">
        <v>184</v>
      </c>
      <c r="F17" s="119" t="s">
        <v>132</v>
      </c>
      <c r="G17" s="119"/>
      <c r="H17" s="119"/>
      <c r="I17" s="119" t="s">
        <v>132</v>
      </c>
      <c r="J17" s="119"/>
      <c r="K17" s="119"/>
      <c r="L17" s="119" t="s">
        <v>132</v>
      </c>
      <c r="M17" s="119"/>
      <c r="N17" s="119"/>
      <c r="O17" s="119"/>
    </row>
    <row r="18" customFormat="false" ht="32.25" hidden="false" customHeight="true" outlineLevel="0" collapsed="false">
      <c r="A18" s="119" t="s">
        <v>185</v>
      </c>
      <c r="B18" s="48" t="s">
        <v>186</v>
      </c>
      <c r="C18" s="48" t="s">
        <v>187</v>
      </c>
      <c r="D18" s="120" t="s">
        <v>188</v>
      </c>
      <c r="E18" s="120" t="s">
        <v>184</v>
      </c>
      <c r="F18" s="119" t="s">
        <v>132</v>
      </c>
      <c r="G18" s="119"/>
      <c r="H18" s="119"/>
      <c r="I18" s="119" t="s">
        <v>132</v>
      </c>
      <c r="J18" s="119"/>
      <c r="K18" s="119"/>
      <c r="L18" s="119" t="s">
        <v>132</v>
      </c>
      <c r="M18" s="119"/>
      <c r="N18" s="119"/>
      <c r="O18" s="119"/>
      <c r="Q18" s="118"/>
    </row>
    <row r="19" customFormat="false" ht="15.75" hidden="false" customHeight="true" outlineLevel="0" collapsed="false">
      <c r="A19" s="115" t="s">
        <v>38</v>
      </c>
      <c r="B19" s="115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7"/>
      <c r="Q19" s="121"/>
    </row>
    <row r="20" customFormat="false" ht="45" hidden="false" customHeight="true" outlineLevel="0" collapsed="false">
      <c r="A20" s="119" t="s">
        <v>189</v>
      </c>
      <c r="B20" s="48" t="s">
        <v>190</v>
      </c>
      <c r="C20" s="48" t="s">
        <v>191</v>
      </c>
      <c r="D20" s="120" t="s">
        <v>192</v>
      </c>
      <c r="E20" s="120" t="s">
        <v>193</v>
      </c>
      <c r="F20" s="119" t="s">
        <v>132</v>
      </c>
      <c r="G20" s="119"/>
      <c r="H20" s="119"/>
      <c r="I20" s="119" t="s">
        <v>132</v>
      </c>
      <c r="J20" s="119"/>
      <c r="K20" s="119"/>
      <c r="L20" s="119" t="s">
        <v>132</v>
      </c>
      <c r="M20" s="119"/>
      <c r="N20" s="119"/>
      <c r="O20" s="119"/>
    </row>
    <row r="21" customFormat="false" ht="32.25" hidden="false" customHeight="true" outlineLevel="0" collapsed="false">
      <c r="A21" s="119" t="s">
        <v>194</v>
      </c>
      <c r="B21" s="48" t="s">
        <v>195</v>
      </c>
      <c r="C21" s="48" t="s">
        <v>196</v>
      </c>
      <c r="D21" s="120" t="s">
        <v>197</v>
      </c>
      <c r="E21" s="120" t="s">
        <v>193</v>
      </c>
      <c r="F21" s="119" t="s">
        <v>132</v>
      </c>
      <c r="G21" s="119"/>
      <c r="H21" s="119"/>
      <c r="I21" s="119" t="s">
        <v>132</v>
      </c>
      <c r="J21" s="119"/>
      <c r="K21" s="119"/>
      <c r="L21" s="119" t="s">
        <v>132</v>
      </c>
      <c r="M21" s="119"/>
      <c r="N21" s="119"/>
      <c r="O21" s="119"/>
    </row>
    <row r="22" customFormat="false" ht="32.25" hidden="false" customHeight="true" outlineLevel="0" collapsed="false">
      <c r="A22" s="119" t="s">
        <v>198</v>
      </c>
      <c r="B22" s="48" t="s">
        <v>199</v>
      </c>
      <c r="C22" s="48" t="s">
        <v>200</v>
      </c>
      <c r="D22" s="120" t="s">
        <v>201</v>
      </c>
      <c r="E22" s="120" t="s">
        <v>193</v>
      </c>
      <c r="F22" s="119" t="s">
        <v>132</v>
      </c>
      <c r="G22" s="119"/>
      <c r="H22" s="119"/>
      <c r="I22" s="119" t="s">
        <v>132</v>
      </c>
      <c r="J22" s="119"/>
      <c r="K22" s="119"/>
      <c r="L22" s="119" t="s">
        <v>132</v>
      </c>
      <c r="M22" s="119"/>
      <c r="N22" s="119"/>
      <c r="O22" s="119"/>
    </row>
    <row r="23" customFormat="false" ht="58.5" hidden="false" customHeight="true" outlineLevel="0" collapsed="false">
      <c r="A23" s="119" t="s">
        <v>202</v>
      </c>
      <c r="B23" s="48" t="s">
        <v>203</v>
      </c>
      <c r="C23" s="48" t="s">
        <v>204</v>
      </c>
      <c r="D23" s="120" t="s">
        <v>205</v>
      </c>
      <c r="E23" s="120" t="s">
        <v>206</v>
      </c>
      <c r="F23" s="119" t="s">
        <v>132</v>
      </c>
      <c r="G23" s="119"/>
      <c r="H23" s="119"/>
      <c r="I23" s="119" t="s">
        <v>132</v>
      </c>
      <c r="J23" s="119"/>
      <c r="K23" s="119"/>
      <c r="L23" s="119" t="s">
        <v>132</v>
      </c>
      <c r="M23" s="119"/>
      <c r="N23" s="119"/>
      <c r="O23" s="119"/>
    </row>
    <row r="24" customFormat="false" ht="58.5" hidden="false" customHeight="true" outlineLevel="0" collapsed="false">
      <c r="A24" s="119" t="s">
        <v>207</v>
      </c>
      <c r="B24" s="48" t="s">
        <v>208</v>
      </c>
      <c r="C24" s="48" t="s">
        <v>209</v>
      </c>
      <c r="D24" s="120" t="s">
        <v>210</v>
      </c>
      <c r="E24" s="120" t="s">
        <v>211</v>
      </c>
      <c r="F24" s="119" t="s">
        <v>132</v>
      </c>
      <c r="G24" s="119"/>
      <c r="H24" s="119"/>
      <c r="I24" s="119" t="s">
        <v>132</v>
      </c>
      <c r="J24" s="119"/>
      <c r="K24" s="119"/>
      <c r="L24" s="119" t="s">
        <v>132</v>
      </c>
      <c r="M24" s="119"/>
      <c r="N24" s="119"/>
      <c r="O24" s="119"/>
    </row>
    <row r="25" customFormat="false" ht="15.75" hidden="false" customHeight="true" outlineLevel="0" collapsed="false">
      <c r="A25" s="115" t="s">
        <v>41</v>
      </c>
      <c r="B25" s="115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7"/>
    </row>
    <row r="26" customFormat="false" ht="58.5" hidden="false" customHeight="true" outlineLevel="0" collapsed="false">
      <c r="A26" s="119" t="s">
        <v>212</v>
      </c>
      <c r="B26" s="48" t="s">
        <v>213</v>
      </c>
      <c r="C26" s="48" t="s">
        <v>214</v>
      </c>
      <c r="D26" s="120" t="s">
        <v>215</v>
      </c>
      <c r="E26" s="120" t="s">
        <v>216</v>
      </c>
      <c r="F26" s="119" t="s">
        <v>132</v>
      </c>
      <c r="G26" s="119"/>
      <c r="H26" s="119"/>
      <c r="I26" s="119" t="s">
        <v>132</v>
      </c>
      <c r="J26" s="119"/>
      <c r="K26" s="119"/>
      <c r="L26" s="119" t="s">
        <v>132</v>
      </c>
      <c r="M26" s="119"/>
      <c r="N26" s="119"/>
      <c r="O26" s="119"/>
    </row>
    <row r="27" customFormat="false" ht="45" hidden="false" customHeight="true" outlineLevel="0" collapsed="false">
      <c r="A27" s="119" t="s">
        <v>217</v>
      </c>
      <c r="B27" s="48" t="s">
        <v>218</v>
      </c>
      <c r="C27" s="48" t="s">
        <v>219</v>
      </c>
      <c r="D27" s="120" t="s">
        <v>220</v>
      </c>
      <c r="E27" s="120" t="s">
        <v>221</v>
      </c>
      <c r="F27" s="119" t="s">
        <v>132</v>
      </c>
      <c r="G27" s="119"/>
      <c r="H27" s="119"/>
      <c r="I27" s="119" t="s">
        <v>132</v>
      </c>
      <c r="J27" s="119"/>
      <c r="K27" s="119"/>
      <c r="L27" s="119" t="s">
        <v>132</v>
      </c>
      <c r="M27" s="119"/>
      <c r="N27" s="119"/>
      <c r="O27" s="119"/>
    </row>
    <row r="28" customFormat="false" ht="45" hidden="false" customHeight="true" outlineLevel="0" collapsed="false">
      <c r="A28" s="119" t="s">
        <v>222</v>
      </c>
      <c r="B28" s="48" t="s">
        <v>223</v>
      </c>
      <c r="C28" s="48" t="s">
        <v>224</v>
      </c>
      <c r="D28" s="120" t="s">
        <v>225</v>
      </c>
      <c r="E28" s="120" t="s">
        <v>226</v>
      </c>
      <c r="F28" s="119" t="s">
        <v>132</v>
      </c>
      <c r="G28" s="119"/>
      <c r="H28" s="119"/>
      <c r="I28" s="119" t="s">
        <v>132</v>
      </c>
      <c r="J28" s="119"/>
      <c r="K28" s="119"/>
      <c r="L28" s="119" t="s">
        <v>132</v>
      </c>
      <c r="M28" s="119"/>
      <c r="N28" s="119"/>
      <c r="O28" s="119"/>
    </row>
    <row r="29" customFormat="false" ht="15.75" hidden="false" customHeight="true" outlineLevel="0" collapsed="false">
      <c r="A29" s="115" t="s">
        <v>44</v>
      </c>
      <c r="B29" s="115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7"/>
    </row>
    <row r="30" customFormat="false" ht="72" hidden="false" customHeight="true" outlineLevel="0" collapsed="false">
      <c r="A30" s="119" t="s">
        <v>227</v>
      </c>
      <c r="B30" s="48" t="s">
        <v>228</v>
      </c>
      <c r="C30" s="48" t="s">
        <v>229</v>
      </c>
      <c r="D30" s="120" t="s">
        <v>230</v>
      </c>
      <c r="E30" s="120" t="s">
        <v>231</v>
      </c>
      <c r="F30" s="119" t="s">
        <v>132</v>
      </c>
      <c r="G30" s="119"/>
      <c r="H30" s="119"/>
      <c r="I30" s="119" t="s">
        <v>132</v>
      </c>
      <c r="J30" s="119"/>
      <c r="K30" s="119"/>
      <c r="L30" s="119" t="s">
        <v>132</v>
      </c>
      <c r="M30" s="119"/>
      <c r="N30" s="119"/>
      <c r="O30" s="119"/>
    </row>
    <row r="31" customFormat="false" ht="58.5" hidden="false" customHeight="true" outlineLevel="0" collapsed="false">
      <c r="A31" s="119" t="s">
        <v>232</v>
      </c>
      <c r="B31" s="48" t="s">
        <v>233</v>
      </c>
      <c r="C31" s="48" t="s">
        <v>234</v>
      </c>
      <c r="D31" s="120" t="s">
        <v>235</v>
      </c>
      <c r="E31" s="120" t="s">
        <v>236</v>
      </c>
      <c r="F31" s="119" t="s">
        <v>132</v>
      </c>
      <c r="G31" s="119"/>
      <c r="H31" s="119"/>
      <c r="I31" s="119" t="s">
        <v>132</v>
      </c>
      <c r="J31" s="119"/>
      <c r="K31" s="119"/>
      <c r="L31" s="119" t="s">
        <v>132</v>
      </c>
      <c r="M31" s="119"/>
      <c r="N31" s="119"/>
      <c r="O31" s="119"/>
    </row>
    <row r="32" customFormat="false" ht="58.5" hidden="false" customHeight="true" outlineLevel="0" collapsed="false">
      <c r="A32" s="119" t="s">
        <v>237</v>
      </c>
      <c r="B32" s="48" t="s">
        <v>238</v>
      </c>
      <c r="C32" s="48" t="s">
        <v>239</v>
      </c>
      <c r="D32" s="120" t="s">
        <v>240</v>
      </c>
      <c r="E32" s="120" t="s">
        <v>46</v>
      </c>
      <c r="F32" s="119" t="s">
        <v>132</v>
      </c>
      <c r="G32" s="119"/>
      <c r="H32" s="119"/>
      <c r="I32" s="119" t="s">
        <v>132</v>
      </c>
      <c r="J32" s="119"/>
      <c r="K32" s="119"/>
      <c r="L32" s="119" t="s">
        <v>132</v>
      </c>
      <c r="M32" s="119"/>
      <c r="N32" s="119"/>
      <c r="O32" s="119"/>
    </row>
    <row r="33" customFormat="false" ht="15.75" hidden="false" customHeight="true" outlineLevel="0" collapsed="false">
      <c r="A33" s="115" t="s">
        <v>47</v>
      </c>
      <c r="B33" s="115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customFormat="false" ht="45" hidden="false" customHeight="true" outlineLevel="0" collapsed="false">
      <c r="A34" s="119" t="s">
        <v>241</v>
      </c>
      <c r="B34" s="48" t="s">
        <v>242</v>
      </c>
      <c r="C34" s="48" t="s">
        <v>243</v>
      </c>
      <c r="D34" s="120" t="s">
        <v>244</v>
      </c>
      <c r="E34" s="120" t="s">
        <v>49</v>
      </c>
      <c r="F34" s="119" t="s">
        <v>132</v>
      </c>
      <c r="G34" s="119"/>
      <c r="H34" s="119"/>
      <c r="I34" s="119" t="s">
        <v>132</v>
      </c>
      <c r="J34" s="119"/>
      <c r="K34" s="119"/>
      <c r="L34" s="119" t="s">
        <v>132</v>
      </c>
      <c r="M34" s="119"/>
      <c r="N34" s="119"/>
      <c r="O34" s="119"/>
    </row>
    <row r="35" customFormat="false" ht="32.25" hidden="false" customHeight="true" outlineLevel="0" collapsed="false">
      <c r="A35" s="119" t="s">
        <v>245</v>
      </c>
      <c r="B35" s="48" t="s">
        <v>246</v>
      </c>
      <c r="C35" s="48" t="s">
        <v>247</v>
      </c>
      <c r="D35" s="120" t="s">
        <v>248</v>
      </c>
      <c r="E35" s="120" t="s">
        <v>49</v>
      </c>
      <c r="F35" s="119" t="s">
        <v>132</v>
      </c>
      <c r="G35" s="119"/>
      <c r="H35" s="119"/>
      <c r="I35" s="119" t="s">
        <v>132</v>
      </c>
      <c r="J35" s="119"/>
      <c r="K35" s="119"/>
      <c r="L35" s="119" t="s">
        <v>132</v>
      </c>
      <c r="M35" s="119"/>
      <c r="N35" s="119"/>
      <c r="O35" s="119"/>
    </row>
    <row r="36" customFormat="false" ht="45" hidden="false" customHeight="true" outlineLevel="0" collapsed="false">
      <c r="A36" s="119" t="s">
        <v>249</v>
      </c>
      <c r="B36" s="48" t="s">
        <v>250</v>
      </c>
      <c r="C36" s="48" t="s">
        <v>251</v>
      </c>
      <c r="D36" s="120" t="s">
        <v>252</v>
      </c>
      <c r="E36" s="120" t="s">
        <v>49</v>
      </c>
      <c r="F36" s="119" t="s">
        <v>132</v>
      </c>
      <c r="G36" s="119"/>
      <c r="H36" s="119"/>
      <c r="I36" s="119" t="s">
        <v>132</v>
      </c>
      <c r="J36" s="119"/>
      <c r="K36" s="119"/>
      <c r="L36" s="119" t="s">
        <v>132</v>
      </c>
      <c r="M36" s="119"/>
      <c r="N36" s="119"/>
      <c r="O36" s="119"/>
    </row>
    <row r="37" customFormat="false" ht="45" hidden="false" customHeight="true" outlineLevel="0" collapsed="false">
      <c r="A37" s="119" t="s">
        <v>253</v>
      </c>
      <c r="B37" s="48" t="s">
        <v>254</v>
      </c>
      <c r="C37" s="48" t="s">
        <v>255</v>
      </c>
      <c r="D37" s="120" t="s">
        <v>256</v>
      </c>
      <c r="E37" s="120" t="s">
        <v>49</v>
      </c>
      <c r="F37" s="119" t="s">
        <v>132</v>
      </c>
      <c r="G37" s="119"/>
      <c r="H37" s="119"/>
      <c r="I37" s="119" t="s">
        <v>132</v>
      </c>
      <c r="J37" s="119"/>
      <c r="K37" s="119"/>
      <c r="L37" s="119" t="s">
        <v>132</v>
      </c>
      <c r="M37" s="119"/>
      <c r="N37" s="119"/>
      <c r="O37" s="119"/>
    </row>
    <row r="38" customFormat="false" ht="15.75" hidden="false" customHeight="true" outlineLevel="0" collapsed="false">
      <c r="A38" s="115" t="s">
        <v>50</v>
      </c>
      <c r="B38" s="115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7"/>
      <c r="Q38" s="118"/>
    </row>
    <row r="39" customFormat="false" ht="45" hidden="false" customHeight="true" outlineLevel="0" collapsed="false">
      <c r="A39" s="119" t="s">
        <v>257</v>
      </c>
      <c r="B39" s="48" t="s">
        <v>258</v>
      </c>
      <c r="C39" s="48" t="s">
        <v>259</v>
      </c>
      <c r="D39" s="120" t="s">
        <v>260</v>
      </c>
      <c r="E39" s="120" t="s">
        <v>52</v>
      </c>
      <c r="F39" s="119" t="s">
        <v>132</v>
      </c>
      <c r="G39" s="119"/>
      <c r="H39" s="119"/>
      <c r="I39" s="119" t="s">
        <v>132</v>
      </c>
      <c r="J39" s="119"/>
      <c r="K39" s="119"/>
      <c r="L39" s="119" t="s">
        <v>132</v>
      </c>
      <c r="M39" s="119"/>
      <c r="N39" s="119"/>
      <c r="O39" s="119"/>
      <c r="Q39" s="121"/>
    </row>
    <row r="40" customFormat="false" ht="45" hidden="false" customHeight="true" outlineLevel="0" collapsed="false">
      <c r="A40" s="119" t="s">
        <v>261</v>
      </c>
      <c r="B40" s="48" t="s">
        <v>262</v>
      </c>
      <c r="C40" s="48" t="s">
        <v>263</v>
      </c>
      <c r="D40" s="120" t="s">
        <v>264</v>
      </c>
      <c r="E40" s="120" t="s">
        <v>52</v>
      </c>
      <c r="F40" s="119" t="s">
        <v>132</v>
      </c>
      <c r="G40" s="119"/>
      <c r="H40" s="119"/>
      <c r="I40" s="119" t="s">
        <v>132</v>
      </c>
      <c r="J40" s="119"/>
      <c r="K40" s="119"/>
      <c r="L40" s="119" t="s">
        <v>132</v>
      </c>
      <c r="M40" s="119"/>
      <c r="N40" s="119"/>
      <c r="O40" s="119"/>
      <c r="Q40" s="121"/>
    </row>
    <row r="41" customFormat="false" ht="45" hidden="false" customHeight="true" outlineLevel="0" collapsed="false">
      <c r="A41" s="119" t="s">
        <v>265</v>
      </c>
      <c r="B41" s="48" t="s">
        <v>266</v>
      </c>
      <c r="C41" s="48" t="s">
        <v>267</v>
      </c>
      <c r="D41" s="120" t="s">
        <v>268</v>
      </c>
      <c r="E41" s="120" t="s">
        <v>52</v>
      </c>
      <c r="F41" s="119" t="s">
        <v>132</v>
      </c>
      <c r="G41" s="119"/>
      <c r="H41" s="119"/>
      <c r="I41" s="119" t="s">
        <v>132</v>
      </c>
      <c r="J41" s="119"/>
      <c r="K41" s="119"/>
      <c r="L41" s="119" t="s">
        <v>132</v>
      </c>
      <c r="M41" s="119"/>
      <c r="N41" s="119"/>
      <c r="O41" s="119"/>
      <c r="Q41" s="121"/>
    </row>
    <row r="42" customFormat="false" ht="32.25" hidden="false" customHeight="true" outlineLevel="0" collapsed="false">
      <c r="A42" s="119" t="s">
        <v>269</v>
      </c>
      <c r="B42" s="48" t="s">
        <v>270</v>
      </c>
      <c r="C42" s="48" t="s">
        <v>271</v>
      </c>
      <c r="D42" s="120" t="s">
        <v>272</v>
      </c>
      <c r="E42" s="120" t="s">
        <v>273</v>
      </c>
      <c r="F42" s="119" t="s">
        <v>132</v>
      </c>
      <c r="G42" s="119"/>
      <c r="H42" s="119"/>
      <c r="I42" s="119" t="s">
        <v>132</v>
      </c>
      <c r="J42" s="119"/>
      <c r="K42" s="119"/>
      <c r="L42" s="119" t="s">
        <v>132</v>
      </c>
      <c r="M42" s="119"/>
      <c r="N42" s="119"/>
      <c r="O42" s="119"/>
      <c r="Q42" s="118"/>
    </row>
    <row r="43" customFormat="false" ht="32.25" hidden="false" customHeight="true" outlineLevel="0" collapsed="false">
      <c r="A43" s="119" t="s">
        <v>274</v>
      </c>
      <c r="B43" s="48" t="s">
        <v>275</v>
      </c>
      <c r="C43" s="48" t="s">
        <v>276</v>
      </c>
      <c r="D43" s="120" t="s">
        <v>277</v>
      </c>
      <c r="E43" s="120" t="s">
        <v>49</v>
      </c>
      <c r="F43" s="119" t="s">
        <v>132</v>
      </c>
      <c r="G43" s="119"/>
      <c r="H43" s="119"/>
      <c r="I43" s="119" t="s">
        <v>132</v>
      </c>
      <c r="J43" s="119"/>
      <c r="K43" s="119"/>
      <c r="L43" s="119" t="s">
        <v>132</v>
      </c>
      <c r="M43" s="119"/>
      <c r="N43" s="119"/>
      <c r="O43" s="119"/>
      <c r="Q43" s="121"/>
    </row>
    <row r="44" customFormat="false" ht="15.75" hidden="false" customHeight="true" outlineLevel="0" collapsed="false">
      <c r="A44" s="115" t="s">
        <v>53</v>
      </c>
      <c r="B44" s="115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7"/>
      <c r="Q44" s="118"/>
    </row>
    <row r="45" customFormat="false" ht="58.5" hidden="false" customHeight="true" outlineLevel="0" collapsed="false">
      <c r="A45" s="119" t="s">
        <v>278</v>
      </c>
      <c r="B45" s="48" t="s">
        <v>279</v>
      </c>
      <c r="C45" s="48" t="s">
        <v>280</v>
      </c>
      <c r="D45" s="120" t="s">
        <v>281</v>
      </c>
      <c r="E45" s="120" t="s">
        <v>46</v>
      </c>
      <c r="F45" s="119" t="s">
        <v>132</v>
      </c>
      <c r="G45" s="119"/>
      <c r="H45" s="119"/>
      <c r="I45" s="119" t="s">
        <v>132</v>
      </c>
      <c r="J45" s="119"/>
      <c r="K45" s="119"/>
      <c r="L45" s="119" t="s">
        <v>132</v>
      </c>
      <c r="M45" s="119"/>
      <c r="N45" s="119"/>
      <c r="O45" s="119"/>
      <c r="Q45" s="121"/>
    </row>
    <row r="46" customFormat="false" ht="72" hidden="false" customHeight="true" outlineLevel="0" collapsed="false">
      <c r="A46" s="119" t="s">
        <v>282</v>
      </c>
      <c r="B46" s="48" t="s">
        <v>283</v>
      </c>
      <c r="C46" s="48" t="s">
        <v>284</v>
      </c>
      <c r="D46" s="120" t="s">
        <v>285</v>
      </c>
      <c r="E46" s="120" t="s">
        <v>46</v>
      </c>
      <c r="F46" s="119" t="s">
        <v>132</v>
      </c>
      <c r="G46" s="119"/>
      <c r="H46" s="119"/>
      <c r="I46" s="119" t="s">
        <v>132</v>
      </c>
      <c r="J46" s="119"/>
      <c r="K46" s="119"/>
      <c r="L46" s="119" t="s">
        <v>132</v>
      </c>
      <c r="M46" s="119"/>
      <c r="N46" s="119"/>
      <c r="O46" s="119"/>
      <c r="Q46" s="121"/>
    </row>
    <row r="47" customFormat="false" ht="45" hidden="false" customHeight="true" outlineLevel="0" collapsed="false">
      <c r="A47" s="119" t="s">
        <v>286</v>
      </c>
      <c r="B47" s="48" t="s">
        <v>287</v>
      </c>
      <c r="C47" s="48" t="s">
        <v>288</v>
      </c>
      <c r="D47" s="120" t="s">
        <v>289</v>
      </c>
      <c r="E47" s="120" t="s">
        <v>46</v>
      </c>
      <c r="F47" s="119" t="s">
        <v>132</v>
      </c>
      <c r="G47" s="119"/>
      <c r="H47" s="119"/>
      <c r="I47" s="119" t="s">
        <v>132</v>
      </c>
      <c r="J47" s="119"/>
      <c r="K47" s="119"/>
      <c r="L47" s="119" t="s">
        <v>132</v>
      </c>
      <c r="M47" s="119"/>
      <c r="N47" s="119"/>
      <c r="O47" s="119"/>
      <c r="Q47" s="121"/>
    </row>
    <row r="48" customFormat="false" ht="45" hidden="false" customHeight="true" outlineLevel="0" collapsed="false">
      <c r="A48" s="119" t="s">
        <v>290</v>
      </c>
      <c r="B48" s="48" t="s">
        <v>291</v>
      </c>
      <c r="C48" s="48" t="s">
        <v>292</v>
      </c>
      <c r="D48" s="120" t="s">
        <v>293</v>
      </c>
      <c r="E48" s="120" t="s">
        <v>49</v>
      </c>
      <c r="F48" s="119" t="s">
        <v>132</v>
      </c>
      <c r="G48" s="119"/>
      <c r="H48" s="119"/>
      <c r="I48" s="119" t="s">
        <v>132</v>
      </c>
      <c r="J48" s="119"/>
      <c r="K48" s="119"/>
      <c r="L48" s="119" t="s">
        <v>132</v>
      </c>
      <c r="M48" s="119"/>
      <c r="N48" s="119"/>
      <c r="O48" s="119"/>
      <c r="Q48" s="118"/>
    </row>
    <row r="49" customFormat="false" ht="58.5" hidden="false" customHeight="true" outlineLevel="0" collapsed="false">
      <c r="A49" s="119" t="s">
        <v>294</v>
      </c>
      <c r="B49" s="48" t="s">
        <v>295</v>
      </c>
      <c r="C49" s="48" t="s">
        <v>296</v>
      </c>
      <c r="D49" s="120" t="s">
        <v>297</v>
      </c>
      <c r="E49" s="120" t="s">
        <v>46</v>
      </c>
      <c r="F49" s="119" t="s">
        <v>132</v>
      </c>
      <c r="G49" s="119"/>
      <c r="H49" s="119"/>
      <c r="I49" s="119" t="s">
        <v>132</v>
      </c>
      <c r="J49" s="119"/>
      <c r="K49" s="119"/>
      <c r="L49" s="119" t="s">
        <v>132</v>
      </c>
      <c r="M49" s="119"/>
      <c r="N49" s="119"/>
      <c r="O49" s="119"/>
      <c r="Q49" s="121"/>
    </row>
    <row r="50" customFormat="false" ht="15.75" hidden="false" customHeight="true" outlineLevel="0" collapsed="false">
      <c r="A50" s="115" t="s">
        <v>56</v>
      </c>
      <c r="B50" s="115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7"/>
    </row>
    <row r="51" customFormat="false" ht="32.25" hidden="false" customHeight="true" outlineLevel="0" collapsed="false">
      <c r="A51" s="119" t="s">
        <v>298</v>
      </c>
      <c r="B51" s="48" t="s">
        <v>299</v>
      </c>
      <c r="C51" s="48" t="s">
        <v>300</v>
      </c>
      <c r="D51" s="120" t="s">
        <v>301</v>
      </c>
      <c r="E51" s="120" t="s">
        <v>46</v>
      </c>
      <c r="F51" s="119" t="s">
        <v>132</v>
      </c>
      <c r="G51" s="119"/>
      <c r="H51" s="119"/>
      <c r="I51" s="119" t="s">
        <v>132</v>
      </c>
      <c r="J51" s="119"/>
      <c r="K51" s="119"/>
      <c r="L51" s="119" t="s">
        <v>132</v>
      </c>
      <c r="M51" s="119"/>
      <c r="N51" s="119"/>
      <c r="O51" s="119"/>
      <c r="Q51" s="118"/>
    </row>
    <row r="52" customFormat="false" ht="72" hidden="false" customHeight="true" outlineLevel="0" collapsed="false">
      <c r="A52" s="119" t="s">
        <v>302</v>
      </c>
      <c r="B52" s="48" t="s">
        <v>303</v>
      </c>
      <c r="C52" s="48" t="s">
        <v>304</v>
      </c>
      <c r="D52" s="120" t="s">
        <v>305</v>
      </c>
      <c r="E52" s="120" t="s">
        <v>306</v>
      </c>
      <c r="F52" s="119" t="s">
        <v>132</v>
      </c>
      <c r="G52" s="119"/>
      <c r="H52" s="119"/>
      <c r="I52" s="119" t="s">
        <v>132</v>
      </c>
      <c r="J52" s="119"/>
      <c r="K52" s="119"/>
      <c r="L52" s="119" t="s">
        <v>132</v>
      </c>
      <c r="M52" s="119"/>
      <c r="N52" s="119"/>
      <c r="O52" s="119"/>
      <c r="Q52" s="121"/>
    </row>
    <row r="53" customFormat="false" ht="45" hidden="false" customHeight="true" outlineLevel="0" collapsed="false">
      <c r="A53" s="119" t="s">
        <v>307</v>
      </c>
      <c r="B53" s="48" t="s">
        <v>308</v>
      </c>
      <c r="C53" s="48" t="s">
        <v>309</v>
      </c>
      <c r="D53" s="120" t="s">
        <v>310</v>
      </c>
      <c r="E53" s="120" t="s">
        <v>49</v>
      </c>
      <c r="F53" s="119" t="s">
        <v>132</v>
      </c>
      <c r="G53" s="119"/>
      <c r="H53" s="119"/>
      <c r="I53" s="119" t="s">
        <v>132</v>
      </c>
      <c r="J53" s="119"/>
      <c r="K53" s="119"/>
      <c r="L53" s="119" t="s">
        <v>132</v>
      </c>
      <c r="M53" s="119"/>
      <c r="N53" s="119"/>
      <c r="O53" s="119"/>
    </row>
    <row r="54" customFormat="false" ht="45" hidden="false" customHeight="true" outlineLevel="0" collapsed="false">
      <c r="A54" s="119" t="s">
        <v>311</v>
      </c>
      <c r="B54" s="48" t="s">
        <v>312</v>
      </c>
      <c r="C54" s="48" t="s">
        <v>313</v>
      </c>
      <c r="D54" s="120" t="s">
        <v>314</v>
      </c>
      <c r="E54" s="120" t="s">
        <v>46</v>
      </c>
      <c r="F54" s="119" t="s">
        <v>132</v>
      </c>
      <c r="G54" s="119"/>
      <c r="H54" s="119"/>
      <c r="I54" s="119" t="s">
        <v>132</v>
      </c>
      <c r="J54" s="119"/>
      <c r="K54" s="119"/>
      <c r="L54" s="119" t="s">
        <v>132</v>
      </c>
      <c r="M54" s="119"/>
      <c r="N54" s="119"/>
      <c r="O54" s="119"/>
    </row>
    <row r="55" customFormat="false" ht="45" hidden="false" customHeight="true" outlineLevel="0" collapsed="false">
      <c r="A55" s="119" t="s">
        <v>315</v>
      </c>
      <c r="B55" s="48" t="s">
        <v>316</v>
      </c>
      <c r="C55" s="48" t="s">
        <v>317</v>
      </c>
      <c r="D55" s="120" t="s">
        <v>318</v>
      </c>
      <c r="E55" s="120" t="s">
        <v>49</v>
      </c>
      <c r="F55" s="119" t="s">
        <v>132</v>
      </c>
      <c r="G55" s="119"/>
      <c r="H55" s="119"/>
      <c r="I55" s="119" t="s">
        <v>132</v>
      </c>
      <c r="J55" s="119"/>
      <c r="K55" s="119"/>
      <c r="L55" s="119" t="s">
        <v>132</v>
      </c>
      <c r="M55" s="119"/>
      <c r="N55" s="119"/>
      <c r="O55" s="119"/>
    </row>
    <row r="56" customFormat="false" ht="45" hidden="false" customHeight="true" outlineLevel="0" collapsed="false">
      <c r="A56" s="119" t="s">
        <v>319</v>
      </c>
      <c r="B56" s="48" t="s">
        <v>320</v>
      </c>
      <c r="C56" s="48" t="s">
        <v>321</v>
      </c>
      <c r="D56" s="120" t="s">
        <v>322</v>
      </c>
      <c r="E56" s="120" t="s">
        <v>323</v>
      </c>
      <c r="F56" s="119" t="s">
        <v>132</v>
      </c>
      <c r="G56" s="119"/>
      <c r="H56" s="119"/>
      <c r="I56" s="119" t="s">
        <v>132</v>
      </c>
      <c r="J56" s="119"/>
      <c r="K56" s="119"/>
      <c r="L56" s="119" t="s">
        <v>132</v>
      </c>
      <c r="M56" s="119"/>
      <c r="N56" s="119"/>
      <c r="O56" s="119"/>
    </row>
  </sheetData>
  <mergeCells count="3">
    <mergeCell ref="B2:E2"/>
    <mergeCell ref="B3:E3"/>
    <mergeCell ref="B4:E4"/>
  </mergeCells>
  <dataValidations count="1">
    <dataValidation allowBlank="true" errorStyle="stop" operator="between" showDropDown="false" showErrorMessage="false" showInputMessage="false" sqref="F11:F106 I11:I106 L11:L106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F12" activeCellId="0" sqref="F12"/>
    </sheetView>
  </sheetViews>
  <sheetFormatPr defaultColWidth="9" defaultRowHeight="12.75" zeroHeight="false" outlineLevelRow="0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2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98" customFormat="true" ht="15" hidden="false" customHeight="true" outlineLevel="0" collapsed="false">
      <c r="A2" s="93" t="s">
        <v>139</v>
      </c>
      <c r="B2" s="94" t="s">
        <v>324</v>
      </c>
      <c r="C2" s="94"/>
      <c r="D2" s="94"/>
      <c r="E2" s="94"/>
      <c r="F2" s="95"/>
      <c r="G2" s="96"/>
      <c r="H2" s="46"/>
      <c r="I2" s="95"/>
      <c r="J2" s="96"/>
      <c r="K2" s="46"/>
      <c r="L2" s="95"/>
      <c r="M2" s="96"/>
      <c r="N2" s="46"/>
      <c r="O2" s="46"/>
      <c r="P2" s="46"/>
      <c r="Q2" s="97"/>
      <c r="R2" s="98" t="s">
        <v>130</v>
      </c>
    </row>
    <row r="3" s="98" customFormat="true" ht="48" hidden="false" customHeight="true" outlineLevel="0" collapsed="false">
      <c r="A3" s="99" t="s">
        <v>141</v>
      </c>
      <c r="B3" s="100" t="s">
        <v>325</v>
      </c>
      <c r="C3" s="100"/>
      <c r="D3" s="100"/>
      <c r="E3" s="100"/>
      <c r="F3" s="95"/>
      <c r="G3" s="96"/>
      <c r="H3" s="46"/>
      <c r="I3" s="95"/>
      <c r="J3" s="96"/>
      <c r="K3" s="46"/>
      <c r="L3" s="95"/>
      <c r="M3" s="96"/>
      <c r="N3" s="46"/>
      <c r="O3" s="46"/>
      <c r="P3" s="46"/>
      <c r="Q3" s="97"/>
      <c r="R3" s="98" t="s">
        <v>131</v>
      </c>
    </row>
    <row r="4" s="98" customFormat="true" ht="18" hidden="false" customHeight="true" outlineLevel="0" collapsed="false">
      <c r="A4" s="99" t="s">
        <v>143</v>
      </c>
      <c r="B4" s="100" t="n">
        <f aca="false">COUNTA(B11:B1000)</f>
        <v>37</v>
      </c>
      <c r="C4" s="100"/>
      <c r="D4" s="100"/>
      <c r="E4" s="100"/>
      <c r="F4" s="95"/>
      <c r="G4" s="96"/>
      <c r="H4" s="46"/>
      <c r="I4" s="95"/>
      <c r="J4" s="96"/>
      <c r="K4" s="46"/>
      <c r="L4" s="95"/>
      <c r="M4" s="96"/>
      <c r="N4" s="46"/>
      <c r="O4" s="46"/>
      <c r="P4" s="46"/>
      <c r="Q4" s="97"/>
      <c r="R4" s="98" t="s">
        <v>132</v>
      </c>
    </row>
    <row r="5" s="98" customFormat="true" ht="19.5" hidden="false" customHeight="true" outlineLevel="0" collapsed="false">
      <c r="A5" s="101" t="s">
        <v>144</v>
      </c>
      <c r="B5" s="102" t="s">
        <v>130</v>
      </c>
      <c r="C5" s="102" t="s">
        <v>131</v>
      </c>
      <c r="D5" s="102" t="s">
        <v>132</v>
      </c>
      <c r="E5" s="103" t="s">
        <v>133</v>
      </c>
      <c r="F5" s="104"/>
      <c r="G5" s="104"/>
      <c r="H5" s="105"/>
      <c r="I5" s="104"/>
      <c r="J5" s="104"/>
      <c r="K5" s="105"/>
      <c r="L5" s="104"/>
      <c r="M5" s="104"/>
      <c r="N5" s="105"/>
      <c r="O5" s="105"/>
      <c r="P5" s="105"/>
      <c r="Q5" s="106"/>
      <c r="R5" s="98" t="s">
        <v>133</v>
      </c>
    </row>
    <row r="6" s="98" customFormat="true" ht="15" hidden="false" customHeight="true" outlineLevel="0" collapsed="false">
      <c r="A6" s="101" t="s">
        <v>145</v>
      </c>
      <c r="B6" s="107" t="n">
        <f aca="false">COUNTIF($F$11:$F$1000,B$5)</f>
        <v>0</v>
      </c>
      <c r="C6" s="107" t="n">
        <f aca="false">COUNTIF($F$11:$F$1000,C$5)</f>
        <v>0</v>
      </c>
      <c r="D6" s="107" t="n">
        <f aca="false">COUNTIF($F$11:$F$1000,D$5)</f>
        <v>37</v>
      </c>
      <c r="E6" s="108" t="n">
        <f aca="false">COUNTIF($F$11:$F$1000,E$5)</f>
        <v>0</v>
      </c>
      <c r="F6" s="109"/>
      <c r="G6" s="109"/>
      <c r="H6" s="105"/>
      <c r="I6" s="109"/>
      <c r="J6" s="109"/>
      <c r="K6" s="105"/>
      <c r="L6" s="109"/>
      <c r="M6" s="109"/>
      <c r="N6" s="105"/>
      <c r="O6" s="105"/>
      <c r="P6" s="105"/>
      <c r="Q6" s="106"/>
    </row>
    <row r="7" s="98" customFormat="true" ht="15" hidden="false" customHeight="true" outlineLevel="0" collapsed="false">
      <c r="A7" s="101" t="s">
        <v>146</v>
      </c>
      <c r="B7" s="107" t="n">
        <f aca="false">COUNTIF($I$11:$I$1000,B$5)</f>
        <v>0</v>
      </c>
      <c r="C7" s="107" t="n">
        <f aca="false">COUNTIF($I$11:$I$1000,C$5)</f>
        <v>0</v>
      </c>
      <c r="D7" s="107" t="n">
        <f aca="false">COUNTIF($I$11:$I$1000,D$5)</f>
        <v>37</v>
      </c>
      <c r="E7" s="108" t="n">
        <f aca="false">COUNTIF($I$11:$I$1000,E$5)</f>
        <v>0</v>
      </c>
      <c r="F7" s="109"/>
      <c r="G7" s="109"/>
      <c r="H7" s="105"/>
      <c r="I7" s="109"/>
      <c r="J7" s="109"/>
      <c r="K7" s="105"/>
      <c r="L7" s="109"/>
      <c r="M7" s="109"/>
      <c r="N7" s="105"/>
      <c r="O7" s="105"/>
      <c r="P7" s="105"/>
      <c r="Q7" s="106"/>
    </row>
    <row r="8" s="98" customFormat="true" ht="15" hidden="false" customHeight="true" outlineLevel="0" collapsed="false">
      <c r="A8" s="110" t="s">
        <v>147</v>
      </c>
      <c r="B8" s="111" t="n">
        <f aca="false">COUNTIF($L$11:$L$1000,B$5)</f>
        <v>0</v>
      </c>
      <c r="C8" s="111" t="n">
        <f aca="false">COUNTIF($L$11:$L$1000,C$5)</f>
        <v>0</v>
      </c>
      <c r="D8" s="111" t="n">
        <f aca="false">COUNTIF($L$11:$L$1000,D$5)</f>
        <v>37</v>
      </c>
      <c r="E8" s="112" t="n">
        <f aca="false">COUNTIF($L$11:$L$1000,E$5)</f>
        <v>0</v>
      </c>
      <c r="F8" s="109"/>
      <c r="G8" s="109"/>
      <c r="H8" s="105"/>
      <c r="I8" s="109"/>
      <c r="J8" s="109"/>
      <c r="K8" s="105"/>
      <c r="L8" s="109"/>
      <c r="M8" s="109"/>
      <c r="N8" s="105"/>
      <c r="O8" s="105"/>
      <c r="P8" s="105"/>
      <c r="Q8" s="106"/>
    </row>
    <row r="9" s="98" customFormat="true" ht="15" hidden="false" customHeight="true" outlineLevel="0" collapsed="false">
      <c r="A9" s="105"/>
      <c r="B9" s="105"/>
      <c r="C9" s="105"/>
      <c r="D9" s="105"/>
      <c r="E9" s="105"/>
      <c r="F9" s="91"/>
      <c r="G9" s="105"/>
      <c r="H9" s="105"/>
      <c r="I9" s="91"/>
      <c r="J9" s="105"/>
      <c r="K9" s="105"/>
      <c r="L9" s="91"/>
      <c r="M9" s="105"/>
      <c r="N9" s="105"/>
      <c r="O9" s="105"/>
      <c r="P9" s="105"/>
      <c r="Q9" s="106"/>
    </row>
    <row r="10" s="98" customFormat="true" ht="25.5" hidden="false" customHeight="true" outlineLevel="0" collapsed="false">
      <c r="A10" s="113" t="s">
        <v>148</v>
      </c>
      <c r="B10" s="113" t="s">
        <v>149</v>
      </c>
      <c r="C10" s="113" t="s">
        <v>150</v>
      </c>
      <c r="D10" s="113" t="s">
        <v>151</v>
      </c>
      <c r="E10" s="113" t="s">
        <v>152</v>
      </c>
      <c r="F10" s="113" t="s">
        <v>145</v>
      </c>
      <c r="G10" s="113" t="s">
        <v>153</v>
      </c>
      <c r="H10" s="113" t="s">
        <v>154</v>
      </c>
      <c r="I10" s="113" t="s">
        <v>146</v>
      </c>
      <c r="J10" s="113" t="s">
        <v>153</v>
      </c>
      <c r="K10" s="113" t="s">
        <v>154</v>
      </c>
      <c r="L10" s="113" t="s">
        <v>147</v>
      </c>
      <c r="M10" s="113" t="s">
        <v>153</v>
      </c>
      <c r="N10" s="113" t="s">
        <v>154</v>
      </c>
      <c r="O10" s="113" t="s">
        <v>155</v>
      </c>
      <c r="Q10" s="114"/>
    </row>
    <row r="11" customFormat="false" ht="15.75" hidden="false" customHeight="true" outlineLevel="0" collapsed="false">
      <c r="A11" s="115" t="s">
        <v>58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  <c r="Q11" s="118"/>
    </row>
    <row r="12" customFormat="false" ht="45" hidden="false" customHeight="true" outlineLevel="0" collapsed="false">
      <c r="A12" s="119" t="s">
        <v>326</v>
      </c>
      <c r="B12" s="48" t="s">
        <v>327</v>
      </c>
      <c r="C12" s="48" t="s">
        <v>328</v>
      </c>
      <c r="D12" s="120" t="s">
        <v>329</v>
      </c>
      <c r="E12" s="120" t="s">
        <v>330</v>
      </c>
      <c r="F12" s="119" t="s">
        <v>132</v>
      </c>
      <c r="G12" s="119"/>
      <c r="H12" s="119"/>
      <c r="I12" s="119" t="s">
        <v>132</v>
      </c>
      <c r="J12" s="119"/>
      <c r="K12" s="119"/>
      <c r="L12" s="119" t="s">
        <v>132</v>
      </c>
      <c r="M12" s="119"/>
      <c r="N12" s="119"/>
      <c r="O12" s="119"/>
      <c r="Q12" s="121"/>
    </row>
    <row r="13" customFormat="false" ht="45" hidden="false" customHeight="true" outlineLevel="0" collapsed="false">
      <c r="A13" s="119" t="s">
        <v>331</v>
      </c>
      <c r="B13" s="48" t="s">
        <v>332</v>
      </c>
      <c r="C13" s="48" t="s">
        <v>333</v>
      </c>
      <c r="D13" s="120" t="s">
        <v>334</v>
      </c>
      <c r="E13" s="120" t="s">
        <v>335</v>
      </c>
      <c r="F13" s="119" t="s">
        <v>132</v>
      </c>
      <c r="G13" s="119"/>
      <c r="H13" s="119"/>
      <c r="I13" s="119" t="s">
        <v>132</v>
      </c>
      <c r="J13" s="119"/>
      <c r="K13" s="119"/>
      <c r="L13" s="119" t="s">
        <v>132</v>
      </c>
      <c r="M13" s="119"/>
      <c r="N13" s="119"/>
      <c r="O13" s="119"/>
      <c r="Q13" s="121"/>
    </row>
    <row r="14" customFormat="false" ht="45" hidden="false" customHeight="true" outlineLevel="0" collapsed="false">
      <c r="A14" s="119" t="s">
        <v>336</v>
      </c>
      <c r="B14" s="48" t="s">
        <v>337</v>
      </c>
      <c r="C14" s="48" t="s">
        <v>338</v>
      </c>
      <c r="D14" s="120" t="s">
        <v>339</v>
      </c>
      <c r="E14" s="120" t="s">
        <v>46</v>
      </c>
      <c r="F14" s="119" t="s">
        <v>132</v>
      </c>
      <c r="G14" s="119"/>
      <c r="H14" s="119"/>
      <c r="I14" s="119" t="s">
        <v>132</v>
      </c>
      <c r="J14" s="119"/>
      <c r="K14" s="119"/>
      <c r="L14" s="119" t="s">
        <v>132</v>
      </c>
      <c r="M14" s="119"/>
      <c r="N14" s="119"/>
      <c r="O14" s="119"/>
      <c r="Q14" s="121"/>
    </row>
    <row r="15" customFormat="false" ht="58.5" hidden="false" customHeight="true" outlineLevel="0" collapsed="false">
      <c r="A15" s="119" t="s">
        <v>340</v>
      </c>
      <c r="B15" s="48" t="s">
        <v>341</v>
      </c>
      <c r="C15" s="48" t="s">
        <v>342</v>
      </c>
      <c r="D15" s="120" t="s">
        <v>343</v>
      </c>
      <c r="E15" s="120" t="s">
        <v>46</v>
      </c>
      <c r="F15" s="119" t="s">
        <v>132</v>
      </c>
      <c r="G15" s="119"/>
      <c r="H15" s="119"/>
      <c r="I15" s="119" t="s">
        <v>132</v>
      </c>
      <c r="J15" s="119"/>
      <c r="K15" s="119"/>
      <c r="L15" s="119" t="s">
        <v>132</v>
      </c>
      <c r="M15" s="119"/>
      <c r="N15" s="119"/>
      <c r="O15" s="119"/>
      <c r="Q15" s="118"/>
    </row>
    <row r="16" customFormat="false" ht="15.75" hidden="false" customHeight="true" outlineLevel="0" collapsed="false">
      <c r="A16" s="115" t="s">
        <v>62</v>
      </c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7"/>
      <c r="Q16" s="121"/>
    </row>
    <row r="17" customFormat="false" ht="58.5" hidden="false" customHeight="true" outlineLevel="0" collapsed="false">
      <c r="A17" s="119" t="s">
        <v>344</v>
      </c>
      <c r="B17" s="48" t="s">
        <v>345</v>
      </c>
      <c r="C17" s="48" t="s">
        <v>346</v>
      </c>
      <c r="D17" s="120" t="s">
        <v>347</v>
      </c>
      <c r="E17" s="120" t="s">
        <v>348</v>
      </c>
      <c r="F17" s="119" t="s">
        <v>132</v>
      </c>
      <c r="G17" s="119"/>
      <c r="H17" s="119"/>
      <c r="I17" s="119" t="s">
        <v>132</v>
      </c>
      <c r="J17" s="119"/>
      <c r="K17" s="119"/>
      <c r="L17" s="119" t="s">
        <v>132</v>
      </c>
      <c r="M17" s="119"/>
      <c r="N17" s="119"/>
      <c r="O17" s="119"/>
    </row>
    <row r="18" customFormat="false" ht="58.5" hidden="false" customHeight="true" outlineLevel="0" collapsed="false">
      <c r="A18" s="119" t="s">
        <v>349</v>
      </c>
      <c r="B18" s="48" t="s">
        <v>350</v>
      </c>
      <c r="C18" s="48" t="s">
        <v>351</v>
      </c>
      <c r="D18" s="120" t="s">
        <v>352</v>
      </c>
      <c r="E18" s="120" t="s">
        <v>348</v>
      </c>
      <c r="F18" s="119" t="s">
        <v>132</v>
      </c>
      <c r="G18" s="119"/>
      <c r="H18" s="119"/>
      <c r="I18" s="119" t="s">
        <v>132</v>
      </c>
      <c r="J18" s="119"/>
      <c r="K18" s="119"/>
      <c r="L18" s="119" t="s">
        <v>132</v>
      </c>
      <c r="M18" s="119"/>
      <c r="N18" s="119"/>
      <c r="O18" s="119"/>
    </row>
    <row r="19" customFormat="false" ht="58.5" hidden="false" customHeight="true" outlineLevel="0" collapsed="false">
      <c r="A19" s="119" t="s">
        <v>353</v>
      </c>
      <c r="B19" s="48" t="s">
        <v>354</v>
      </c>
      <c r="C19" s="48" t="s">
        <v>355</v>
      </c>
      <c r="D19" s="120" t="s">
        <v>356</v>
      </c>
      <c r="E19" s="120" t="s">
        <v>357</v>
      </c>
      <c r="F19" s="119" t="s">
        <v>132</v>
      </c>
      <c r="G19" s="119"/>
      <c r="H19" s="119"/>
      <c r="I19" s="119" t="s">
        <v>132</v>
      </c>
      <c r="J19" s="119"/>
      <c r="K19" s="119"/>
      <c r="L19" s="119" t="s">
        <v>132</v>
      </c>
      <c r="M19" s="119"/>
      <c r="N19" s="119"/>
      <c r="O19" s="119"/>
    </row>
    <row r="20" customFormat="false" ht="45" hidden="false" customHeight="true" outlineLevel="0" collapsed="false">
      <c r="A20" s="119" t="s">
        <v>358</v>
      </c>
      <c r="B20" s="48" t="s">
        <v>359</v>
      </c>
      <c r="C20" s="48" t="s">
        <v>360</v>
      </c>
      <c r="D20" s="120" t="s">
        <v>361</v>
      </c>
      <c r="E20" s="120" t="s">
        <v>46</v>
      </c>
      <c r="F20" s="119" t="s">
        <v>132</v>
      </c>
      <c r="G20" s="119"/>
      <c r="H20" s="119"/>
      <c r="I20" s="119" t="s">
        <v>132</v>
      </c>
      <c r="J20" s="119"/>
      <c r="K20" s="119"/>
      <c r="L20" s="119" t="s">
        <v>132</v>
      </c>
      <c r="M20" s="119"/>
      <c r="N20" s="119"/>
      <c r="O20" s="119"/>
    </row>
    <row r="21" customFormat="false" ht="15.75" hidden="false" customHeight="true" outlineLevel="0" collapsed="false">
      <c r="A21" s="115" t="s">
        <v>65</v>
      </c>
      <c r="B21" s="115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7"/>
    </row>
    <row r="22" customFormat="false" ht="45" hidden="false" customHeight="true" outlineLevel="0" collapsed="false">
      <c r="A22" s="119" t="s">
        <v>362</v>
      </c>
      <c r="B22" s="48" t="s">
        <v>363</v>
      </c>
      <c r="C22" s="48" t="s">
        <v>364</v>
      </c>
      <c r="D22" s="120" t="s">
        <v>365</v>
      </c>
      <c r="E22" s="120" t="s">
        <v>67</v>
      </c>
      <c r="F22" s="119" t="s">
        <v>132</v>
      </c>
      <c r="G22" s="119"/>
      <c r="H22" s="119"/>
      <c r="I22" s="119" t="s">
        <v>132</v>
      </c>
      <c r="J22" s="119"/>
      <c r="K22" s="119"/>
      <c r="L22" s="119" t="s">
        <v>132</v>
      </c>
      <c r="M22" s="119"/>
      <c r="N22" s="119"/>
      <c r="O22" s="119"/>
    </row>
    <row r="23" customFormat="false" ht="32.25" hidden="false" customHeight="true" outlineLevel="0" collapsed="false">
      <c r="A23" s="119" t="s">
        <v>366</v>
      </c>
      <c r="B23" s="48" t="s">
        <v>367</v>
      </c>
      <c r="C23" s="48" t="s">
        <v>368</v>
      </c>
      <c r="D23" s="120" t="s">
        <v>369</v>
      </c>
      <c r="E23" s="120" t="s">
        <v>46</v>
      </c>
      <c r="F23" s="119" t="s">
        <v>132</v>
      </c>
      <c r="G23" s="119"/>
      <c r="H23" s="119"/>
      <c r="I23" s="119" t="s">
        <v>132</v>
      </c>
      <c r="J23" s="119"/>
      <c r="K23" s="119"/>
      <c r="L23" s="119" t="s">
        <v>132</v>
      </c>
      <c r="M23" s="119"/>
      <c r="N23" s="119"/>
      <c r="O23" s="119"/>
    </row>
    <row r="24" customFormat="false" ht="45" hidden="false" customHeight="true" outlineLevel="0" collapsed="false">
      <c r="A24" s="119" t="s">
        <v>370</v>
      </c>
      <c r="B24" s="48" t="s">
        <v>371</v>
      </c>
      <c r="C24" s="48" t="s">
        <v>372</v>
      </c>
      <c r="D24" s="120" t="s">
        <v>373</v>
      </c>
      <c r="E24" s="120" t="s">
        <v>67</v>
      </c>
      <c r="F24" s="119" t="s">
        <v>132</v>
      </c>
      <c r="G24" s="119"/>
      <c r="H24" s="119"/>
      <c r="I24" s="119" t="s">
        <v>132</v>
      </c>
      <c r="J24" s="119"/>
      <c r="K24" s="119"/>
      <c r="L24" s="119" t="s">
        <v>132</v>
      </c>
      <c r="M24" s="119"/>
      <c r="N24" s="119"/>
      <c r="O24" s="119"/>
    </row>
    <row r="25" customFormat="false" ht="58.5" hidden="false" customHeight="true" outlineLevel="0" collapsed="false">
      <c r="A25" s="119" t="s">
        <v>374</v>
      </c>
      <c r="B25" s="48" t="s">
        <v>375</v>
      </c>
      <c r="C25" s="48" t="s">
        <v>376</v>
      </c>
      <c r="D25" s="120" t="s">
        <v>377</v>
      </c>
      <c r="E25" s="120" t="s">
        <v>46</v>
      </c>
      <c r="F25" s="119" t="s">
        <v>132</v>
      </c>
      <c r="G25" s="119"/>
      <c r="H25" s="119"/>
      <c r="I25" s="119" t="s">
        <v>132</v>
      </c>
      <c r="J25" s="119"/>
      <c r="K25" s="119"/>
      <c r="L25" s="119" t="s">
        <v>132</v>
      </c>
      <c r="M25" s="119"/>
      <c r="N25" s="119"/>
      <c r="O25" s="119"/>
    </row>
    <row r="26" customFormat="false" ht="15.75" hidden="false" customHeight="true" outlineLevel="0" collapsed="false">
      <c r="A26" s="115" t="s">
        <v>68</v>
      </c>
      <c r="B26" s="115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7"/>
      <c r="Q26" s="118"/>
    </row>
    <row r="27" customFormat="false" ht="45" hidden="false" customHeight="true" outlineLevel="0" collapsed="false">
      <c r="A27" s="119" t="s">
        <v>378</v>
      </c>
      <c r="B27" s="48" t="s">
        <v>379</v>
      </c>
      <c r="C27" s="48" t="s">
        <v>380</v>
      </c>
      <c r="D27" s="120" t="s">
        <v>381</v>
      </c>
      <c r="E27" s="120" t="s">
        <v>70</v>
      </c>
      <c r="F27" s="119" t="s">
        <v>132</v>
      </c>
      <c r="G27" s="119"/>
      <c r="H27" s="119"/>
      <c r="I27" s="119" t="s">
        <v>132</v>
      </c>
      <c r="J27" s="119"/>
      <c r="K27" s="119"/>
      <c r="L27" s="119" t="s">
        <v>132</v>
      </c>
      <c r="M27" s="119"/>
      <c r="N27" s="119"/>
      <c r="O27" s="119"/>
      <c r="Q27" s="121"/>
    </row>
    <row r="28" customFormat="false" ht="45" hidden="false" customHeight="true" outlineLevel="0" collapsed="false">
      <c r="A28" s="119" t="s">
        <v>382</v>
      </c>
      <c r="B28" s="48" t="s">
        <v>383</v>
      </c>
      <c r="C28" s="48" t="s">
        <v>384</v>
      </c>
      <c r="D28" s="120" t="s">
        <v>385</v>
      </c>
      <c r="E28" s="120" t="s">
        <v>70</v>
      </c>
      <c r="F28" s="119" t="s">
        <v>132</v>
      </c>
      <c r="G28" s="119"/>
      <c r="H28" s="119"/>
      <c r="I28" s="119" t="s">
        <v>132</v>
      </c>
      <c r="J28" s="119"/>
      <c r="K28" s="119"/>
      <c r="L28" s="119" t="s">
        <v>132</v>
      </c>
      <c r="M28" s="119"/>
      <c r="N28" s="119"/>
      <c r="O28" s="119"/>
      <c r="Q28" s="121"/>
    </row>
    <row r="29" customFormat="false" ht="58.5" hidden="false" customHeight="true" outlineLevel="0" collapsed="false">
      <c r="A29" s="119" t="s">
        <v>386</v>
      </c>
      <c r="B29" s="48" t="s">
        <v>387</v>
      </c>
      <c r="C29" s="48" t="s">
        <v>388</v>
      </c>
      <c r="D29" s="120" t="s">
        <v>389</v>
      </c>
      <c r="E29" s="120" t="s">
        <v>390</v>
      </c>
      <c r="F29" s="119" t="s">
        <v>132</v>
      </c>
      <c r="G29" s="119"/>
      <c r="H29" s="119"/>
      <c r="I29" s="119" t="s">
        <v>132</v>
      </c>
      <c r="J29" s="119"/>
      <c r="K29" s="119"/>
      <c r="L29" s="119" t="s">
        <v>132</v>
      </c>
      <c r="M29" s="119"/>
      <c r="N29" s="119"/>
      <c r="O29" s="119"/>
      <c r="Q29" s="121"/>
    </row>
    <row r="30" customFormat="false" ht="15.75" hidden="false" customHeight="true" outlineLevel="0" collapsed="false">
      <c r="A30" s="115" t="s">
        <v>71</v>
      </c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7"/>
      <c r="Q30" s="118"/>
    </row>
    <row r="31" customFormat="false" ht="45" hidden="false" customHeight="true" outlineLevel="0" collapsed="false">
      <c r="A31" s="119" t="s">
        <v>391</v>
      </c>
      <c r="B31" s="48" t="s">
        <v>392</v>
      </c>
      <c r="C31" s="48" t="s">
        <v>393</v>
      </c>
      <c r="D31" s="120" t="s">
        <v>394</v>
      </c>
      <c r="E31" s="120" t="s">
        <v>70</v>
      </c>
      <c r="F31" s="119" t="s">
        <v>132</v>
      </c>
      <c r="G31" s="119"/>
      <c r="H31" s="119"/>
      <c r="I31" s="119" t="s">
        <v>132</v>
      </c>
      <c r="J31" s="119"/>
      <c r="K31" s="119"/>
      <c r="L31" s="119" t="s">
        <v>132</v>
      </c>
      <c r="M31" s="119"/>
      <c r="N31" s="119"/>
      <c r="O31" s="119"/>
      <c r="Q31" s="121"/>
    </row>
    <row r="32" customFormat="false" ht="45" hidden="false" customHeight="true" outlineLevel="0" collapsed="false">
      <c r="A32" s="119" t="s">
        <v>395</v>
      </c>
      <c r="B32" s="48" t="s">
        <v>396</v>
      </c>
      <c r="C32" s="48" t="s">
        <v>397</v>
      </c>
      <c r="D32" s="120" t="s">
        <v>398</v>
      </c>
      <c r="E32" s="120" t="s">
        <v>399</v>
      </c>
      <c r="F32" s="119" t="s">
        <v>132</v>
      </c>
      <c r="G32" s="119"/>
      <c r="H32" s="119"/>
      <c r="I32" s="119" t="s">
        <v>132</v>
      </c>
      <c r="J32" s="119"/>
      <c r="K32" s="119"/>
      <c r="L32" s="119" t="s">
        <v>132</v>
      </c>
      <c r="M32" s="119"/>
      <c r="N32" s="119"/>
      <c r="O32" s="119"/>
    </row>
    <row r="33" customFormat="false" ht="45" hidden="false" customHeight="true" outlineLevel="0" collapsed="false">
      <c r="A33" s="119" t="s">
        <v>400</v>
      </c>
      <c r="B33" s="48" t="s">
        <v>401</v>
      </c>
      <c r="C33" s="48" t="s">
        <v>402</v>
      </c>
      <c r="D33" s="120" t="s">
        <v>403</v>
      </c>
      <c r="E33" s="120" t="s">
        <v>404</v>
      </c>
      <c r="F33" s="119" t="s">
        <v>132</v>
      </c>
      <c r="G33" s="119"/>
      <c r="H33" s="119"/>
      <c r="I33" s="119" t="s">
        <v>132</v>
      </c>
      <c r="J33" s="119"/>
      <c r="K33" s="119"/>
      <c r="L33" s="119" t="s">
        <v>132</v>
      </c>
      <c r="M33" s="119"/>
      <c r="N33" s="119"/>
      <c r="O33" s="119"/>
      <c r="Q33" s="118"/>
    </row>
    <row r="34" customFormat="false" ht="15.75" hidden="false" customHeight="true" outlineLevel="0" collapsed="false">
      <c r="A34" s="115" t="s">
        <v>73</v>
      </c>
      <c r="B34" s="115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  <c r="Q34" s="121"/>
    </row>
    <row r="35" customFormat="false" ht="32.25" hidden="false" customHeight="true" outlineLevel="0" collapsed="false">
      <c r="A35" s="119" t="s">
        <v>405</v>
      </c>
      <c r="B35" s="48" t="s">
        <v>406</v>
      </c>
      <c r="C35" s="48" t="s">
        <v>407</v>
      </c>
      <c r="D35" s="120" t="s">
        <v>408</v>
      </c>
      <c r="E35" s="120" t="s">
        <v>70</v>
      </c>
      <c r="F35" s="119" t="s">
        <v>132</v>
      </c>
      <c r="G35" s="119"/>
      <c r="H35" s="119"/>
      <c r="I35" s="119" t="s">
        <v>132</v>
      </c>
      <c r="J35" s="119"/>
      <c r="K35" s="119"/>
      <c r="L35" s="119" t="s">
        <v>132</v>
      </c>
      <c r="M35" s="119"/>
      <c r="N35" s="119"/>
      <c r="O35" s="119"/>
    </row>
    <row r="36" customFormat="false" ht="45" hidden="false" customHeight="true" outlineLevel="0" collapsed="false">
      <c r="A36" s="119" t="s">
        <v>409</v>
      </c>
      <c r="B36" s="48" t="s">
        <v>410</v>
      </c>
      <c r="C36" s="48" t="s">
        <v>411</v>
      </c>
      <c r="D36" s="120" t="s">
        <v>412</v>
      </c>
      <c r="E36" s="120" t="s">
        <v>70</v>
      </c>
      <c r="F36" s="119" t="s">
        <v>132</v>
      </c>
      <c r="G36" s="119"/>
      <c r="H36" s="119"/>
      <c r="I36" s="119" t="s">
        <v>132</v>
      </c>
      <c r="J36" s="119"/>
      <c r="K36" s="119"/>
      <c r="L36" s="119" t="s">
        <v>132</v>
      </c>
      <c r="M36" s="119"/>
      <c r="N36" s="119"/>
      <c r="O36" s="119"/>
    </row>
    <row r="37" customFormat="false" ht="15.75" hidden="false" customHeight="true" outlineLevel="0" collapsed="false">
      <c r="A37" s="115" t="s">
        <v>75</v>
      </c>
      <c r="B37" s="115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</row>
    <row r="38" customFormat="false" ht="45" hidden="false" customHeight="true" outlineLevel="0" collapsed="false">
      <c r="A38" s="119" t="s">
        <v>413</v>
      </c>
      <c r="B38" s="48" t="s">
        <v>414</v>
      </c>
      <c r="C38" s="48" t="s">
        <v>415</v>
      </c>
      <c r="D38" s="120" t="s">
        <v>416</v>
      </c>
      <c r="E38" s="120" t="s">
        <v>70</v>
      </c>
      <c r="F38" s="119" t="s">
        <v>132</v>
      </c>
      <c r="G38" s="119"/>
      <c r="H38" s="119"/>
      <c r="I38" s="119" t="s">
        <v>132</v>
      </c>
      <c r="J38" s="119"/>
      <c r="K38" s="119"/>
      <c r="L38" s="119" t="s">
        <v>132</v>
      </c>
      <c r="M38" s="119"/>
      <c r="N38" s="119"/>
      <c r="O38" s="119"/>
    </row>
    <row r="39" customFormat="false" ht="45" hidden="false" customHeight="true" outlineLevel="0" collapsed="false">
      <c r="A39" s="119" t="s">
        <v>417</v>
      </c>
      <c r="B39" s="48" t="s">
        <v>418</v>
      </c>
      <c r="C39" s="48" t="s">
        <v>419</v>
      </c>
      <c r="D39" s="120" t="s">
        <v>420</v>
      </c>
      <c r="E39" s="120" t="s">
        <v>70</v>
      </c>
      <c r="F39" s="119" t="s">
        <v>132</v>
      </c>
      <c r="G39" s="119"/>
      <c r="H39" s="119"/>
      <c r="I39" s="119" t="s">
        <v>132</v>
      </c>
      <c r="J39" s="119"/>
      <c r="K39" s="119"/>
      <c r="L39" s="119" t="s">
        <v>132</v>
      </c>
      <c r="M39" s="119"/>
      <c r="N39" s="119"/>
      <c r="O39" s="119"/>
    </row>
    <row r="40" customFormat="false" ht="45" hidden="false" customHeight="true" outlineLevel="0" collapsed="false">
      <c r="A40" s="119" t="s">
        <v>421</v>
      </c>
      <c r="B40" s="48" t="s">
        <v>422</v>
      </c>
      <c r="C40" s="48" t="s">
        <v>423</v>
      </c>
      <c r="D40" s="120" t="s">
        <v>424</v>
      </c>
      <c r="E40" s="120" t="s">
        <v>425</v>
      </c>
      <c r="F40" s="119" t="s">
        <v>132</v>
      </c>
      <c r="G40" s="119"/>
      <c r="H40" s="119"/>
      <c r="I40" s="119" t="s">
        <v>132</v>
      </c>
      <c r="J40" s="119"/>
      <c r="K40" s="119"/>
      <c r="L40" s="119" t="s">
        <v>132</v>
      </c>
      <c r="M40" s="119"/>
      <c r="N40" s="119"/>
      <c r="O40" s="119"/>
    </row>
    <row r="41" customFormat="false" ht="15.75" hidden="false" customHeight="true" outlineLevel="0" collapsed="false">
      <c r="A41" s="115" t="s">
        <v>77</v>
      </c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7"/>
      <c r="Q41" s="118"/>
    </row>
    <row r="42" customFormat="false" ht="45" hidden="false" customHeight="true" outlineLevel="0" collapsed="false">
      <c r="A42" s="119" t="s">
        <v>426</v>
      </c>
      <c r="B42" s="48" t="s">
        <v>427</v>
      </c>
      <c r="C42" s="48" t="s">
        <v>428</v>
      </c>
      <c r="D42" s="120" t="s">
        <v>429</v>
      </c>
      <c r="E42" s="120" t="s">
        <v>70</v>
      </c>
      <c r="F42" s="119" t="s">
        <v>132</v>
      </c>
      <c r="G42" s="119"/>
      <c r="H42" s="119"/>
      <c r="I42" s="119" t="s">
        <v>132</v>
      </c>
      <c r="J42" s="119"/>
      <c r="K42" s="119"/>
      <c r="L42" s="119" t="s">
        <v>132</v>
      </c>
      <c r="M42" s="119"/>
      <c r="N42" s="119"/>
      <c r="O42" s="119"/>
      <c r="Q42" s="121"/>
    </row>
    <row r="43" customFormat="false" ht="45" hidden="false" customHeight="true" outlineLevel="0" collapsed="false">
      <c r="A43" s="119" t="s">
        <v>430</v>
      </c>
      <c r="B43" s="48" t="s">
        <v>431</v>
      </c>
      <c r="C43" s="48" t="s">
        <v>432</v>
      </c>
      <c r="D43" s="120" t="s">
        <v>433</v>
      </c>
      <c r="E43" s="120" t="s">
        <v>434</v>
      </c>
      <c r="F43" s="119" t="s">
        <v>132</v>
      </c>
      <c r="G43" s="119"/>
      <c r="H43" s="119"/>
      <c r="I43" s="119" t="s">
        <v>132</v>
      </c>
      <c r="J43" s="119"/>
      <c r="K43" s="119"/>
      <c r="L43" s="119" t="s">
        <v>132</v>
      </c>
      <c r="M43" s="119"/>
      <c r="N43" s="119"/>
      <c r="O43" s="119"/>
      <c r="Q43" s="121"/>
    </row>
    <row r="44" customFormat="false" ht="32.25" hidden="false" customHeight="true" outlineLevel="0" collapsed="false">
      <c r="A44" s="119" t="s">
        <v>435</v>
      </c>
      <c r="B44" s="48" t="s">
        <v>436</v>
      </c>
      <c r="C44" s="48" t="s">
        <v>437</v>
      </c>
      <c r="D44" s="120" t="s">
        <v>438</v>
      </c>
      <c r="E44" s="120" t="s">
        <v>439</v>
      </c>
      <c r="F44" s="119" t="s">
        <v>132</v>
      </c>
      <c r="G44" s="119"/>
      <c r="H44" s="119"/>
      <c r="I44" s="119" t="s">
        <v>132</v>
      </c>
      <c r="J44" s="119"/>
      <c r="K44" s="119"/>
      <c r="L44" s="119" t="s">
        <v>132</v>
      </c>
      <c r="M44" s="119"/>
      <c r="N44" s="119"/>
      <c r="O44" s="119"/>
      <c r="Q44" s="121"/>
    </row>
    <row r="45" customFormat="false" ht="45" hidden="false" customHeight="true" outlineLevel="0" collapsed="false">
      <c r="A45" s="119" t="s">
        <v>440</v>
      </c>
      <c r="B45" s="48" t="s">
        <v>441</v>
      </c>
      <c r="C45" s="48" t="s">
        <v>442</v>
      </c>
      <c r="D45" s="120" t="s">
        <v>443</v>
      </c>
      <c r="E45" s="120" t="s">
        <v>444</v>
      </c>
      <c r="F45" s="119" t="s">
        <v>132</v>
      </c>
      <c r="G45" s="119"/>
      <c r="H45" s="119"/>
      <c r="I45" s="119" t="s">
        <v>132</v>
      </c>
      <c r="J45" s="119"/>
      <c r="K45" s="119"/>
      <c r="L45" s="119" t="s">
        <v>132</v>
      </c>
      <c r="M45" s="119"/>
      <c r="N45" s="119"/>
      <c r="O45" s="119"/>
      <c r="Q45" s="118"/>
    </row>
    <row r="46" customFormat="false" ht="45" hidden="false" customHeight="true" outlineLevel="0" collapsed="false">
      <c r="A46" s="119" t="s">
        <v>445</v>
      </c>
      <c r="B46" s="48" t="s">
        <v>446</v>
      </c>
      <c r="C46" s="48" t="s">
        <v>447</v>
      </c>
      <c r="D46" s="120" t="s">
        <v>448</v>
      </c>
      <c r="E46" s="120" t="s">
        <v>449</v>
      </c>
      <c r="F46" s="119" t="s">
        <v>132</v>
      </c>
      <c r="G46" s="119"/>
      <c r="H46" s="119"/>
      <c r="I46" s="119" t="s">
        <v>132</v>
      </c>
      <c r="J46" s="119"/>
      <c r="K46" s="119"/>
      <c r="L46" s="119" t="s">
        <v>132</v>
      </c>
      <c r="M46" s="119"/>
      <c r="N46" s="119"/>
      <c r="O46" s="119"/>
      <c r="Q46" s="121"/>
    </row>
    <row r="47" customFormat="false" ht="45" hidden="false" customHeight="true" outlineLevel="0" collapsed="false">
      <c r="A47" s="119" t="s">
        <v>450</v>
      </c>
      <c r="B47" s="48" t="s">
        <v>451</v>
      </c>
      <c r="C47" s="48" t="s">
        <v>452</v>
      </c>
      <c r="D47" s="120" t="s">
        <v>453</v>
      </c>
      <c r="E47" s="120" t="s">
        <v>454</v>
      </c>
      <c r="F47" s="119" t="s">
        <v>132</v>
      </c>
      <c r="G47" s="119"/>
      <c r="H47" s="119"/>
      <c r="I47" s="119" t="s">
        <v>132</v>
      </c>
      <c r="J47" s="119"/>
      <c r="K47" s="119"/>
      <c r="L47" s="119" t="s">
        <v>132</v>
      </c>
      <c r="M47" s="119"/>
      <c r="N47" s="119"/>
      <c r="O47" s="119"/>
    </row>
    <row r="48" customFormat="false" ht="15.75" hidden="false" customHeight="true" outlineLevel="0" collapsed="false">
      <c r="A48" s="115" t="s">
        <v>80</v>
      </c>
      <c r="B48" s="11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7"/>
      <c r="Q48" s="118"/>
    </row>
    <row r="49" customFormat="false" ht="58.5" hidden="false" customHeight="true" outlineLevel="0" collapsed="false">
      <c r="A49" s="119" t="s">
        <v>455</v>
      </c>
      <c r="B49" s="48" t="s">
        <v>456</v>
      </c>
      <c r="C49" s="48" t="s">
        <v>457</v>
      </c>
      <c r="D49" s="120" t="s">
        <v>458</v>
      </c>
      <c r="E49" s="120" t="s">
        <v>82</v>
      </c>
      <c r="F49" s="119" t="s">
        <v>132</v>
      </c>
      <c r="G49" s="119"/>
      <c r="H49" s="119"/>
      <c r="I49" s="119" t="s">
        <v>132</v>
      </c>
      <c r="J49" s="119"/>
      <c r="K49" s="119"/>
      <c r="L49" s="119" t="s">
        <v>132</v>
      </c>
      <c r="M49" s="119"/>
      <c r="N49" s="119"/>
      <c r="O49" s="119"/>
      <c r="Q49" s="121"/>
    </row>
    <row r="50" customFormat="false" ht="45" hidden="false" customHeight="true" outlineLevel="0" collapsed="false">
      <c r="A50" s="119" t="s">
        <v>459</v>
      </c>
      <c r="B50" s="48" t="s">
        <v>460</v>
      </c>
      <c r="C50" s="48" t="s">
        <v>461</v>
      </c>
      <c r="D50" s="120" t="s">
        <v>462</v>
      </c>
      <c r="E50" s="120" t="s">
        <v>82</v>
      </c>
      <c r="F50" s="119" t="s">
        <v>132</v>
      </c>
      <c r="G50" s="119"/>
      <c r="H50" s="119"/>
      <c r="I50" s="119" t="s">
        <v>132</v>
      </c>
      <c r="J50" s="119"/>
      <c r="K50" s="119"/>
      <c r="L50" s="119" t="s">
        <v>132</v>
      </c>
      <c r="M50" s="119"/>
      <c r="N50" s="119"/>
      <c r="O50" s="119"/>
    </row>
    <row r="51" customFormat="false" ht="58.5" hidden="false" customHeight="true" outlineLevel="0" collapsed="false">
      <c r="A51" s="119" t="s">
        <v>463</v>
      </c>
      <c r="B51" s="48" t="s">
        <v>464</v>
      </c>
      <c r="C51" s="48" t="s">
        <v>465</v>
      </c>
      <c r="D51" s="120" t="s">
        <v>466</v>
      </c>
      <c r="E51" s="120" t="s">
        <v>467</v>
      </c>
      <c r="F51" s="119" t="s">
        <v>132</v>
      </c>
      <c r="G51" s="119"/>
      <c r="H51" s="119"/>
      <c r="I51" s="119" t="s">
        <v>132</v>
      </c>
      <c r="J51" s="119"/>
      <c r="K51" s="119"/>
      <c r="L51" s="119" t="s">
        <v>132</v>
      </c>
      <c r="M51" s="119"/>
      <c r="N51" s="119"/>
      <c r="O51" s="119"/>
    </row>
    <row r="52" customFormat="false" ht="58.5" hidden="false" customHeight="true" outlineLevel="0" collapsed="false">
      <c r="A52" s="119" t="s">
        <v>468</v>
      </c>
      <c r="B52" s="48" t="s">
        <v>469</v>
      </c>
      <c r="C52" s="48" t="s">
        <v>470</v>
      </c>
      <c r="D52" s="120" t="s">
        <v>471</v>
      </c>
      <c r="E52" s="120" t="s">
        <v>472</v>
      </c>
      <c r="F52" s="119" t="s">
        <v>132</v>
      </c>
      <c r="G52" s="119"/>
      <c r="H52" s="119"/>
      <c r="I52" s="119" t="s">
        <v>132</v>
      </c>
      <c r="J52" s="119"/>
      <c r="K52" s="119"/>
      <c r="L52" s="119" t="s">
        <v>132</v>
      </c>
      <c r="M52" s="119"/>
      <c r="N52" s="119"/>
      <c r="O52" s="119"/>
    </row>
    <row r="53" customFormat="false" ht="32.25" hidden="false" customHeight="true" outlineLevel="0" collapsed="false">
      <c r="A53" s="119" t="s">
        <v>473</v>
      </c>
      <c r="B53" s="48" t="s">
        <v>474</v>
      </c>
      <c r="C53" s="48" t="s">
        <v>475</v>
      </c>
      <c r="D53" s="120" t="s">
        <v>476</v>
      </c>
      <c r="E53" s="120" t="s">
        <v>82</v>
      </c>
      <c r="F53" s="119" t="s">
        <v>132</v>
      </c>
      <c r="G53" s="119"/>
      <c r="H53" s="119"/>
      <c r="I53" s="119" t="s">
        <v>132</v>
      </c>
      <c r="J53" s="119"/>
      <c r="K53" s="119"/>
      <c r="L53" s="119" t="s">
        <v>132</v>
      </c>
      <c r="M53" s="119"/>
      <c r="N53" s="119"/>
      <c r="O53" s="119"/>
    </row>
    <row r="54" customFormat="false" ht="15.75" hidden="false" customHeight="true" outlineLevel="0" collapsed="false">
      <c r="A54" s="115" t="s">
        <v>83</v>
      </c>
      <c r="B54" s="115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7"/>
    </row>
    <row r="55" customFormat="false" ht="72" hidden="false" customHeight="true" outlineLevel="0" collapsed="false">
      <c r="A55" s="119" t="s">
        <v>477</v>
      </c>
      <c r="B55" s="48" t="s">
        <v>478</v>
      </c>
      <c r="C55" s="48" t="s">
        <v>479</v>
      </c>
      <c r="D55" s="120" t="s">
        <v>480</v>
      </c>
      <c r="E55" s="120" t="s">
        <v>85</v>
      </c>
      <c r="F55" s="119" t="s">
        <v>132</v>
      </c>
      <c r="G55" s="119"/>
      <c r="H55" s="119"/>
      <c r="I55" s="119" t="s">
        <v>132</v>
      </c>
      <c r="J55" s="119"/>
      <c r="K55" s="119"/>
      <c r="L55" s="119" t="s">
        <v>132</v>
      </c>
      <c r="M55" s="119"/>
      <c r="N55" s="119"/>
      <c r="O55" s="119"/>
    </row>
    <row r="56" customFormat="false" ht="45" hidden="false" customHeight="true" outlineLevel="0" collapsed="false">
      <c r="A56" s="119" t="s">
        <v>481</v>
      </c>
      <c r="B56" s="48" t="s">
        <v>482</v>
      </c>
      <c r="C56" s="48" t="s">
        <v>483</v>
      </c>
      <c r="D56" s="120" t="s">
        <v>484</v>
      </c>
      <c r="E56" s="120" t="s">
        <v>485</v>
      </c>
      <c r="F56" s="119" t="s">
        <v>132</v>
      </c>
      <c r="G56" s="119"/>
      <c r="H56" s="119"/>
      <c r="I56" s="119" t="s">
        <v>132</v>
      </c>
      <c r="J56" s="119"/>
      <c r="K56" s="119"/>
      <c r="L56" s="119" t="s">
        <v>132</v>
      </c>
      <c r="M56" s="119"/>
      <c r="N56" s="119"/>
      <c r="O56" s="119"/>
    </row>
    <row r="57" customFormat="false" ht="32.25" hidden="false" customHeight="true" outlineLevel="0" collapsed="false">
      <c r="A57" s="119" t="s">
        <v>486</v>
      </c>
      <c r="B57" s="48" t="s">
        <v>487</v>
      </c>
      <c r="C57" s="48" t="s">
        <v>488</v>
      </c>
      <c r="D57" s="120" t="s">
        <v>489</v>
      </c>
      <c r="E57" s="120" t="s">
        <v>490</v>
      </c>
      <c r="F57" s="119" t="s">
        <v>132</v>
      </c>
      <c r="G57" s="119"/>
      <c r="H57" s="119"/>
      <c r="I57" s="119" t="s">
        <v>132</v>
      </c>
      <c r="J57" s="119"/>
      <c r="K57" s="119"/>
      <c r="L57" s="119" t="s">
        <v>132</v>
      </c>
      <c r="M57" s="119"/>
      <c r="N57" s="119"/>
      <c r="O57" s="119"/>
    </row>
  </sheetData>
  <mergeCells count="3">
    <mergeCell ref="B2:E2"/>
    <mergeCell ref="B3:E3"/>
    <mergeCell ref="B4:E4"/>
  </mergeCells>
  <dataValidations count="1">
    <dataValidation allowBlank="true" errorStyle="stop" operator="between" showDropDown="false" showErrorMessage="false" showInputMessage="false" sqref="F11:F107 I11:I107 L11:L107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2.75" zeroHeight="false" outlineLevelRow="0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2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98" customFormat="true" ht="15" hidden="false" customHeight="true" outlineLevel="0" collapsed="false">
      <c r="A2" s="93" t="s">
        <v>139</v>
      </c>
      <c r="B2" s="94" t="s">
        <v>491</v>
      </c>
      <c r="C2" s="94"/>
      <c r="D2" s="94"/>
      <c r="E2" s="94"/>
      <c r="F2" s="95"/>
      <c r="G2" s="96"/>
      <c r="H2" s="46"/>
      <c r="I2" s="95"/>
      <c r="J2" s="96"/>
      <c r="K2" s="46"/>
      <c r="L2" s="95"/>
      <c r="M2" s="96"/>
      <c r="N2" s="46"/>
      <c r="O2" s="46"/>
      <c r="P2" s="46"/>
      <c r="Q2" s="97"/>
      <c r="R2" s="98" t="s">
        <v>130</v>
      </c>
    </row>
    <row r="3" s="98" customFormat="true" ht="48" hidden="false" customHeight="true" outlineLevel="0" collapsed="false">
      <c r="A3" s="99" t="s">
        <v>141</v>
      </c>
      <c r="B3" s="100" t="s">
        <v>492</v>
      </c>
      <c r="C3" s="100"/>
      <c r="D3" s="100"/>
      <c r="E3" s="100"/>
      <c r="F3" s="95"/>
      <c r="G3" s="96"/>
      <c r="H3" s="46"/>
      <c r="I3" s="95"/>
      <c r="J3" s="96"/>
      <c r="K3" s="46"/>
      <c r="L3" s="95"/>
      <c r="M3" s="96"/>
      <c r="N3" s="46"/>
      <c r="O3" s="46"/>
      <c r="P3" s="46"/>
      <c r="Q3" s="97"/>
      <c r="R3" s="98" t="s">
        <v>131</v>
      </c>
    </row>
    <row r="4" s="98" customFormat="true" ht="18" hidden="false" customHeight="true" outlineLevel="0" collapsed="false">
      <c r="A4" s="99" t="s">
        <v>143</v>
      </c>
      <c r="B4" s="100" t="n">
        <f aca="false">COUNTA(B11:B1000)</f>
        <v>54</v>
      </c>
      <c r="C4" s="100"/>
      <c r="D4" s="100"/>
      <c r="E4" s="100"/>
      <c r="F4" s="95"/>
      <c r="G4" s="96"/>
      <c r="H4" s="46"/>
      <c r="I4" s="95"/>
      <c r="J4" s="96"/>
      <c r="K4" s="46"/>
      <c r="L4" s="95"/>
      <c r="M4" s="96"/>
      <c r="N4" s="46"/>
      <c r="O4" s="46"/>
      <c r="P4" s="46"/>
      <c r="Q4" s="97"/>
      <c r="R4" s="98" t="s">
        <v>132</v>
      </c>
    </row>
    <row r="5" s="98" customFormat="true" ht="19.5" hidden="false" customHeight="true" outlineLevel="0" collapsed="false">
      <c r="A5" s="101" t="s">
        <v>144</v>
      </c>
      <c r="B5" s="102" t="s">
        <v>130</v>
      </c>
      <c r="C5" s="102" t="s">
        <v>131</v>
      </c>
      <c r="D5" s="102" t="s">
        <v>132</v>
      </c>
      <c r="E5" s="103" t="s">
        <v>133</v>
      </c>
      <c r="F5" s="104"/>
      <c r="G5" s="104"/>
      <c r="H5" s="105"/>
      <c r="I5" s="104"/>
      <c r="J5" s="104"/>
      <c r="K5" s="105"/>
      <c r="L5" s="104"/>
      <c r="M5" s="104"/>
      <c r="N5" s="105"/>
      <c r="O5" s="105"/>
      <c r="P5" s="105"/>
      <c r="Q5" s="106"/>
      <c r="R5" s="98" t="s">
        <v>133</v>
      </c>
    </row>
    <row r="6" s="98" customFormat="true" ht="15" hidden="false" customHeight="true" outlineLevel="0" collapsed="false">
      <c r="A6" s="101" t="s">
        <v>145</v>
      </c>
      <c r="B6" s="107" t="n">
        <f aca="false">COUNTIF($F$11:$F$1000,B$5)</f>
        <v>0</v>
      </c>
      <c r="C6" s="107" t="n">
        <f aca="false">COUNTIF($F$11:$F$1000,C$5)</f>
        <v>0</v>
      </c>
      <c r="D6" s="107" t="n">
        <f aca="false">COUNTIF($F$11:$F$1000,D$5)</f>
        <v>54</v>
      </c>
      <c r="E6" s="108" t="n">
        <f aca="false">COUNTIF($F$11:$F$1000,E$5)</f>
        <v>0</v>
      </c>
      <c r="F6" s="109"/>
      <c r="G6" s="109"/>
      <c r="H6" s="105"/>
      <c r="I6" s="109"/>
      <c r="J6" s="109"/>
      <c r="K6" s="105"/>
      <c r="L6" s="109"/>
      <c r="M6" s="109"/>
      <c r="N6" s="105"/>
      <c r="O6" s="105"/>
      <c r="P6" s="105"/>
      <c r="Q6" s="106"/>
    </row>
    <row r="7" s="98" customFormat="true" ht="15" hidden="false" customHeight="true" outlineLevel="0" collapsed="false">
      <c r="A7" s="101" t="s">
        <v>146</v>
      </c>
      <c r="B7" s="107" t="n">
        <f aca="false">COUNTIF($I$11:$I$1000,B$5)</f>
        <v>0</v>
      </c>
      <c r="C7" s="107" t="n">
        <f aca="false">COUNTIF($I$11:$I$1000,C$5)</f>
        <v>0</v>
      </c>
      <c r="D7" s="107" t="n">
        <f aca="false">COUNTIF($I$11:$I$1000,D$5)</f>
        <v>54</v>
      </c>
      <c r="E7" s="108" t="n">
        <f aca="false">COUNTIF($I$11:$I$1000,E$5)</f>
        <v>0</v>
      </c>
      <c r="F7" s="109"/>
      <c r="G7" s="109"/>
      <c r="H7" s="105"/>
      <c r="I7" s="109"/>
      <c r="J7" s="109"/>
      <c r="K7" s="105"/>
      <c r="L7" s="109"/>
      <c r="M7" s="109"/>
      <c r="N7" s="105"/>
      <c r="O7" s="105"/>
      <c r="P7" s="105"/>
      <c r="Q7" s="106"/>
    </row>
    <row r="8" s="98" customFormat="true" ht="15" hidden="false" customHeight="true" outlineLevel="0" collapsed="false">
      <c r="A8" s="110" t="s">
        <v>147</v>
      </c>
      <c r="B8" s="111" t="n">
        <f aca="false">COUNTIF($L$11:$L$1000,B$5)</f>
        <v>0</v>
      </c>
      <c r="C8" s="111" t="n">
        <f aca="false">COUNTIF($L$11:$L$1000,C$5)</f>
        <v>0</v>
      </c>
      <c r="D8" s="111" t="n">
        <f aca="false">COUNTIF($L$11:$L$1000,D$5)</f>
        <v>54</v>
      </c>
      <c r="E8" s="112" t="n">
        <f aca="false">COUNTIF($L$11:$L$1000,E$5)</f>
        <v>0</v>
      </c>
      <c r="F8" s="109"/>
      <c r="G8" s="109"/>
      <c r="H8" s="105"/>
      <c r="I8" s="109"/>
      <c r="J8" s="109"/>
      <c r="K8" s="105"/>
      <c r="L8" s="109"/>
      <c r="M8" s="109"/>
      <c r="N8" s="105"/>
      <c r="O8" s="105"/>
      <c r="P8" s="105"/>
      <c r="Q8" s="106"/>
    </row>
    <row r="9" s="98" customFormat="true" ht="15" hidden="false" customHeight="true" outlineLevel="0" collapsed="false">
      <c r="A9" s="105"/>
      <c r="B9" s="105"/>
      <c r="C9" s="105"/>
      <c r="D9" s="105"/>
      <c r="E9" s="105"/>
      <c r="F9" s="91"/>
      <c r="G9" s="105"/>
      <c r="H9" s="105"/>
      <c r="I9" s="91"/>
      <c r="J9" s="105"/>
      <c r="K9" s="105"/>
      <c r="L9" s="91"/>
      <c r="M9" s="105"/>
      <c r="N9" s="105"/>
      <c r="O9" s="105"/>
      <c r="P9" s="105"/>
      <c r="Q9" s="106"/>
    </row>
    <row r="10" s="98" customFormat="true" ht="25.5" hidden="false" customHeight="true" outlineLevel="0" collapsed="false">
      <c r="A10" s="113" t="s">
        <v>148</v>
      </c>
      <c r="B10" s="113" t="s">
        <v>149</v>
      </c>
      <c r="C10" s="113" t="s">
        <v>150</v>
      </c>
      <c r="D10" s="113" t="s">
        <v>151</v>
      </c>
      <c r="E10" s="113" t="s">
        <v>152</v>
      </c>
      <c r="F10" s="113" t="s">
        <v>145</v>
      </c>
      <c r="G10" s="113" t="s">
        <v>153</v>
      </c>
      <c r="H10" s="113" t="s">
        <v>154</v>
      </c>
      <c r="I10" s="113" t="s">
        <v>146</v>
      </c>
      <c r="J10" s="113" t="s">
        <v>153</v>
      </c>
      <c r="K10" s="113" t="s">
        <v>154</v>
      </c>
      <c r="L10" s="113" t="s">
        <v>147</v>
      </c>
      <c r="M10" s="113" t="s">
        <v>153</v>
      </c>
      <c r="N10" s="113" t="s">
        <v>154</v>
      </c>
      <c r="O10" s="113" t="s">
        <v>155</v>
      </c>
      <c r="Q10" s="114"/>
    </row>
    <row r="11" customFormat="false" ht="15.75" hidden="false" customHeight="true" outlineLevel="0" collapsed="false">
      <c r="A11" s="115" t="s">
        <v>86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  <c r="Q11" s="118"/>
    </row>
    <row r="12" customFormat="false" ht="32.25" hidden="false" customHeight="true" outlineLevel="0" collapsed="false">
      <c r="A12" s="119" t="s">
        <v>493</v>
      </c>
      <c r="B12" s="48" t="s">
        <v>494</v>
      </c>
      <c r="C12" s="48" t="s">
        <v>495</v>
      </c>
      <c r="D12" s="120" t="s">
        <v>496</v>
      </c>
      <c r="E12" s="120" t="s">
        <v>49</v>
      </c>
      <c r="F12" s="119" t="s">
        <v>132</v>
      </c>
      <c r="G12" s="119"/>
      <c r="H12" s="119"/>
      <c r="I12" s="119" t="s">
        <v>132</v>
      </c>
      <c r="J12" s="119"/>
      <c r="K12" s="119"/>
      <c r="L12" s="119" t="s">
        <v>132</v>
      </c>
      <c r="M12" s="119"/>
      <c r="N12" s="119"/>
      <c r="O12" s="119"/>
      <c r="Q12" s="121"/>
    </row>
    <row r="13" customFormat="false" ht="45" hidden="false" customHeight="true" outlineLevel="0" collapsed="false">
      <c r="A13" s="119" t="s">
        <v>497</v>
      </c>
      <c r="B13" s="48" t="s">
        <v>498</v>
      </c>
      <c r="C13" s="48" t="s">
        <v>499</v>
      </c>
      <c r="D13" s="120" t="s">
        <v>500</v>
      </c>
      <c r="E13" s="120" t="s">
        <v>89</v>
      </c>
      <c r="F13" s="119" t="s">
        <v>132</v>
      </c>
      <c r="G13" s="119"/>
      <c r="H13" s="119"/>
      <c r="I13" s="119" t="s">
        <v>132</v>
      </c>
      <c r="J13" s="119"/>
      <c r="K13" s="119"/>
      <c r="L13" s="119" t="s">
        <v>132</v>
      </c>
      <c r="M13" s="119"/>
      <c r="N13" s="119"/>
      <c r="O13" s="119"/>
      <c r="Q13" s="121"/>
    </row>
    <row r="14" customFormat="false" ht="45" hidden="false" customHeight="true" outlineLevel="0" collapsed="false">
      <c r="A14" s="119" t="s">
        <v>501</v>
      </c>
      <c r="B14" s="48" t="s">
        <v>502</v>
      </c>
      <c r="C14" s="48" t="s">
        <v>503</v>
      </c>
      <c r="D14" s="120" t="s">
        <v>504</v>
      </c>
      <c r="E14" s="120" t="s">
        <v>89</v>
      </c>
      <c r="F14" s="119" t="s">
        <v>132</v>
      </c>
      <c r="G14" s="119"/>
      <c r="H14" s="119"/>
      <c r="I14" s="119" t="s">
        <v>132</v>
      </c>
      <c r="J14" s="119"/>
      <c r="K14" s="119"/>
      <c r="L14" s="119" t="s">
        <v>132</v>
      </c>
      <c r="M14" s="119"/>
      <c r="N14" s="119"/>
      <c r="O14" s="119"/>
      <c r="Q14" s="121"/>
    </row>
    <row r="15" customFormat="false" ht="58.5" hidden="false" customHeight="true" outlineLevel="0" collapsed="false">
      <c r="A15" s="119" t="s">
        <v>505</v>
      </c>
      <c r="B15" s="48" t="s">
        <v>506</v>
      </c>
      <c r="C15" s="48" t="s">
        <v>507</v>
      </c>
      <c r="D15" s="120" t="s">
        <v>508</v>
      </c>
      <c r="E15" s="120" t="s">
        <v>509</v>
      </c>
      <c r="F15" s="119" t="s">
        <v>132</v>
      </c>
      <c r="G15" s="119"/>
      <c r="H15" s="119"/>
      <c r="I15" s="119" t="s">
        <v>132</v>
      </c>
      <c r="J15" s="119"/>
      <c r="K15" s="119"/>
      <c r="L15" s="119" t="s">
        <v>132</v>
      </c>
      <c r="M15" s="119"/>
      <c r="N15" s="119"/>
      <c r="O15" s="119"/>
      <c r="Q15" s="118"/>
    </row>
    <row r="16" customFormat="false" ht="58.5" hidden="false" customHeight="true" outlineLevel="0" collapsed="false">
      <c r="A16" s="119" t="s">
        <v>510</v>
      </c>
      <c r="B16" s="48" t="s">
        <v>511</v>
      </c>
      <c r="C16" s="48" t="s">
        <v>512</v>
      </c>
      <c r="D16" s="120" t="s">
        <v>513</v>
      </c>
      <c r="E16" s="120" t="s">
        <v>514</v>
      </c>
      <c r="F16" s="119" t="s">
        <v>132</v>
      </c>
      <c r="G16" s="119"/>
      <c r="H16" s="119"/>
      <c r="I16" s="119" t="s">
        <v>132</v>
      </c>
      <c r="J16" s="119"/>
      <c r="K16" s="119"/>
      <c r="L16" s="119" t="s">
        <v>132</v>
      </c>
      <c r="M16" s="119"/>
      <c r="N16" s="119"/>
      <c r="O16" s="119"/>
      <c r="Q16" s="121"/>
    </row>
    <row r="17" customFormat="false" ht="32.25" hidden="false" customHeight="true" outlineLevel="0" collapsed="false">
      <c r="A17" s="119" t="s">
        <v>515</v>
      </c>
      <c r="B17" s="48" t="s">
        <v>516</v>
      </c>
      <c r="C17" s="48" t="s">
        <v>517</v>
      </c>
      <c r="D17" s="120" t="s">
        <v>518</v>
      </c>
      <c r="E17" s="120" t="s">
        <v>46</v>
      </c>
      <c r="F17" s="119" t="s">
        <v>132</v>
      </c>
      <c r="G17" s="119"/>
      <c r="H17" s="119"/>
      <c r="I17" s="119" t="s">
        <v>132</v>
      </c>
      <c r="J17" s="119"/>
      <c r="K17" s="119"/>
      <c r="L17" s="119" t="s">
        <v>132</v>
      </c>
      <c r="M17" s="119"/>
      <c r="N17" s="119"/>
      <c r="O17" s="119"/>
    </row>
    <row r="18" customFormat="false" ht="32.25" hidden="false" customHeight="true" outlineLevel="0" collapsed="false">
      <c r="A18" s="119" t="s">
        <v>519</v>
      </c>
      <c r="B18" s="48" t="s">
        <v>520</v>
      </c>
      <c r="C18" s="48" t="s">
        <v>521</v>
      </c>
      <c r="D18" s="120" t="s">
        <v>522</v>
      </c>
      <c r="E18" s="120" t="s">
        <v>523</v>
      </c>
      <c r="F18" s="119" t="s">
        <v>132</v>
      </c>
      <c r="G18" s="119"/>
      <c r="H18" s="119"/>
      <c r="I18" s="119" t="s">
        <v>132</v>
      </c>
      <c r="J18" s="119"/>
      <c r="K18" s="119"/>
      <c r="L18" s="119" t="s">
        <v>132</v>
      </c>
      <c r="M18" s="119"/>
      <c r="N18" s="119"/>
      <c r="O18" s="119"/>
      <c r="Q18" s="118"/>
    </row>
    <row r="19" customFormat="false" ht="45" hidden="false" customHeight="true" outlineLevel="0" collapsed="false">
      <c r="A19" s="119" t="s">
        <v>524</v>
      </c>
      <c r="B19" s="48" t="s">
        <v>525</v>
      </c>
      <c r="C19" s="48" t="s">
        <v>526</v>
      </c>
      <c r="D19" s="120" t="s">
        <v>527</v>
      </c>
      <c r="E19" s="120" t="s">
        <v>89</v>
      </c>
      <c r="F19" s="119" t="s">
        <v>132</v>
      </c>
      <c r="G19" s="119"/>
      <c r="H19" s="119"/>
      <c r="I19" s="119" t="s">
        <v>132</v>
      </c>
      <c r="J19" s="119"/>
      <c r="K19" s="119"/>
      <c r="L19" s="119" t="s">
        <v>132</v>
      </c>
      <c r="M19" s="119"/>
      <c r="N19" s="119"/>
      <c r="O19" s="119"/>
      <c r="Q19" s="121"/>
    </row>
    <row r="20" customFormat="false" ht="45" hidden="false" customHeight="true" outlineLevel="0" collapsed="false">
      <c r="A20" s="119" t="s">
        <v>528</v>
      </c>
      <c r="B20" s="48" t="s">
        <v>529</v>
      </c>
      <c r="C20" s="48" t="s">
        <v>530</v>
      </c>
      <c r="D20" s="120" t="s">
        <v>531</v>
      </c>
      <c r="E20" s="120" t="s">
        <v>532</v>
      </c>
      <c r="F20" s="119" t="s">
        <v>132</v>
      </c>
      <c r="G20" s="119"/>
      <c r="H20" s="119"/>
      <c r="I20" s="119" t="s">
        <v>132</v>
      </c>
      <c r="J20" s="119"/>
      <c r="K20" s="119"/>
      <c r="L20" s="119" t="s">
        <v>132</v>
      </c>
      <c r="M20" s="119"/>
      <c r="N20" s="119"/>
      <c r="O20" s="119"/>
    </row>
    <row r="21" customFormat="false" ht="15.75" hidden="false" customHeight="true" outlineLevel="0" collapsed="false">
      <c r="A21" s="115" t="s">
        <v>90</v>
      </c>
      <c r="B21" s="115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7"/>
    </row>
    <row r="22" customFormat="false" ht="45" hidden="false" customHeight="true" outlineLevel="0" collapsed="false">
      <c r="A22" s="119" t="s">
        <v>533</v>
      </c>
      <c r="B22" s="48" t="s">
        <v>534</v>
      </c>
      <c r="C22" s="48" t="s">
        <v>535</v>
      </c>
      <c r="D22" s="120" t="s">
        <v>536</v>
      </c>
      <c r="E22" s="120" t="s">
        <v>92</v>
      </c>
      <c r="F22" s="119" t="s">
        <v>132</v>
      </c>
      <c r="G22" s="119"/>
      <c r="H22" s="119"/>
      <c r="I22" s="119" t="s">
        <v>132</v>
      </c>
      <c r="J22" s="119"/>
      <c r="K22" s="119"/>
      <c r="L22" s="119" t="s">
        <v>132</v>
      </c>
      <c r="M22" s="119"/>
      <c r="N22" s="119"/>
      <c r="O22" s="119"/>
    </row>
    <row r="23" customFormat="false" ht="45" hidden="false" customHeight="true" outlineLevel="0" collapsed="false">
      <c r="A23" s="119" t="s">
        <v>537</v>
      </c>
      <c r="B23" s="48" t="s">
        <v>538</v>
      </c>
      <c r="C23" s="48" t="s">
        <v>539</v>
      </c>
      <c r="D23" s="120" t="s">
        <v>540</v>
      </c>
      <c r="E23" s="120" t="s">
        <v>92</v>
      </c>
      <c r="F23" s="119" t="s">
        <v>132</v>
      </c>
      <c r="G23" s="119"/>
      <c r="H23" s="119"/>
      <c r="I23" s="119" t="s">
        <v>132</v>
      </c>
      <c r="J23" s="119"/>
      <c r="K23" s="119"/>
      <c r="L23" s="119" t="s">
        <v>132</v>
      </c>
      <c r="M23" s="119"/>
      <c r="N23" s="119"/>
      <c r="O23" s="119"/>
    </row>
    <row r="24" customFormat="false" ht="45" hidden="false" customHeight="true" outlineLevel="0" collapsed="false">
      <c r="A24" s="119" t="s">
        <v>541</v>
      </c>
      <c r="B24" s="48" t="s">
        <v>542</v>
      </c>
      <c r="C24" s="48" t="s">
        <v>543</v>
      </c>
      <c r="D24" s="120" t="s">
        <v>544</v>
      </c>
      <c r="E24" s="120" t="s">
        <v>92</v>
      </c>
      <c r="F24" s="119" t="s">
        <v>132</v>
      </c>
      <c r="G24" s="119"/>
      <c r="H24" s="119"/>
      <c r="I24" s="119" t="s">
        <v>132</v>
      </c>
      <c r="J24" s="119"/>
      <c r="K24" s="119"/>
      <c r="L24" s="119" t="s">
        <v>132</v>
      </c>
      <c r="M24" s="119"/>
      <c r="N24" s="119"/>
      <c r="O24" s="119"/>
    </row>
    <row r="25" customFormat="false" ht="45" hidden="false" customHeight="true" outlineLevel="0" collapsed="false">
      <c r="A25" s="119" t="s">
        <v>545</v>
      </c>
      <c r="B25" s="48" t="s">
        <v>546</v>
      </c>
      <c r="C25" s="48" t="s">
        <v>547</v>
      </c>
      <c r="D25" s="120" t="s">
        <v>548</v>
      </c>
      <c r="E25" s="120" t="s">
        <v>92</v>
      </c>
      <c r="F25" s="119" t="s">
        <v>132</v>
      </c>
      <c r="G25" s="119"/>
      <c r="H25" s="119"/>
      <c r="I25" s="119" t="s">
        <v>132</v>
      </c>
      <c r="J25" s="119"/>
      <c r="K25" s="119"/>
      <c r="L25" s="119" t="s">
        <v>132</v>
      </c>
      <c r="M25" s="119"/>
      <c r="N25" s="119"/>
      <c r="O25" s="119"/>
    </row>
    <row r="26" customFormat="false" ht="45" hidden="false" customHeight="true" outlineLevel="0" collapsed="false">
      <c r="A26" s="119" t="s">
        <v>549</v>
      </c>
      <c r="B26" s="48" t="s">
        <v>550</v>
      </c>
      <c r="C26" s="48" t="s">
        <v>551</v>
      </c>
      <c r="D26" s="120" t="s">
        <v>552</v>
      </c>
      <c r="E26" s="120" t="s">
        <v>553</v>
      </c>
      <c r="F26" s="119" t="s">
        <v>132</v>
      </c>
      <c r="G26" s="119"/>
      <c r="H26" s="119"/>
      <c r="I26" s="119" t="s">
        <v>132</v>
      </c>
      <c r="J26" s="119"/>
      <c r="K26" s="119"/>
      <c r="L26" s="119" t="s">
        <v>132</v>
      </c>
      <c r="M26" s="119"/>
      <c r="N26" s="119"/>
      <c r="O26" s="119"/>
    </row>
    <row r="27" customFormat="false" ht="45" hidden="false" customHeight="true" outlineLevel="0" collapsed="false">
      <c r="A27" s="119" t="s">
        <v>554</v>
      </c>
      <c r="B27" s="48" t="s">
        <v>555</v>
      </c>
      <c r="C27" s="48" t="s">
        <v>556</v>
      </c>
      <c r="D27" s="120" t="s">
        <v>557</v>
      </c>
      <c r="E27" s="120" t="s">
        <v>92</v>
      </c>
      <c r="F27" s="119" t="s">
        <v>132</v>
      </c>
      <c r="G27" s="119"/>
      <c r="H27" s="119"/>
      <c r="I27" s="119" t="s">
        <v>132</v>
      </c>
      <c r="J27" s="119"/>
      <c r="K27" s="119"/>
      <c r="L27" s="119" t="s">
        <v>132</v>
      </c>
      <c r="M27" s="119"/>
      <c r="N27" s="119"/>
      <c r="O27" s="119"/>
    </row>
    <row r="28" customFormat="false" ht="45" hidden="false" customHeight="true" outlineLevel="0" collapsed="false">
      <c r="A28" s="119" t="s">
        <v>558</v>
      </c>
      <c r="B28" s="48" t="s">
        <v>559</v>
      </c>
      <c r="C28" s="48" t="s">
        <v>560</v>
      </c>
      <c r="D28" s="120" t="s">
        <v>561</v>
      </c>
      <c r="E28" s="120" t="s">
        <v>562</v>
      </c>
      <c r="F28" s="119" t="s">
        <v>132</v>
      </c>
      <c r="G28" s="119"/>
      <c r="H28" s="119"/>
      <c r="I28" s="119" t="s">
        <v>132</v>
      </c>
      <c r="J28" s="119"/>
      <c r="K28" s="119"/>
      <c r="L28" s="119" t="s">
        <v>132</v>
      </c>
      <c r="M28" s="119"/>
      <c r="N28" s="119"/>
      <c r="O28" s="119"/>
    </row>
    <row r="29" customFormat="false" ht="58.5" hidden="false" customHeight="true" outlineLevel="0" collapsed="false">
      <c r="A29" s="119" t="s">
        <v>563</v>
      </c>
      <c r="B29" s="48" t="s">
        <v>564</v>
      </c>
      <c r="C29" s="48" t="s">
        <v>565</v>
      </c>
      <c r="D29" s="120" t="s">
        <v>566</v>
      </c>
      <c r="E29" s="120" t="s">
        <v>567</v>
      </c>
      <c r="F29" s="119" t="s">
        <v>132</v>
      </c>
      <c r="G29" s="119"/>
      <c r="H29" s="119"/>
      <c r="I29" s="119" t="s">
        <v>132</v>
      </c>
      <c r="J29" s="119"/>
      <c r="K29" s="119"/>
      <c r="L29" s="119" t="s">
        <v>132</v>
      </c>
      <c r="M29" s="119"/>
      <c r="N29" s="119"/>
      <c r="O29" s="119"/>
    </row>
    <row r="30" customFormat="false" ht="58.5" hidden="false" customHeight="true" outlineLevel="0" collapsed="false">
      <c r="A30" s="119" t="s">
        <v>568</v>
      </c>
      <c r="B30" s="48" t="s">
        <v>569</v>
      </c>
      <c r="C30" s="48" t="s">
        <v>570</v>
      </c>
      <c r="D30" s="120" t="s">
        <v>571</v>
      </c>
      <c r="E30" s="120" t="s">
        <v>572</v>
      </c>
      <c r="F30" s="119" t="s">
        <v>132</v>
      </c>
      <c r="G30" s="119"/>
      <c r="H30" s="119"/>
      <c r="I30" s="119" t="s">
        <v>132</v>
      </c>
      <c r="J30" s="119"/>
      <c r="K30" s="119"/>
      <c r="L30" s="119" t="s">
        <v>132</v>
      </c>
      <c r="M30" s="119"/>
      <c r="N30" s="119"/>
      <c r="O30" s="119"/>
    </row>
    <row r="31" customFormat="false" ht="45" hidden="false" customHeight="true" outlineLevel="0" collapsed="false">
      <c r="A31" s="119" t="s">
        <v>573</v>
      </c>
      <c r="B31" s="48" t="s">
        <v>574</v>
      </c>
      <c r="C31" s="48" t="s">
        <v>575</v>
      </c>
      <c r="D31" s="120" t="s">
        <v>576</v>
      </c>
      <c r="E31" s="120" t="s">
        <v>577</v>
      </c>
      <c r="F31" s="119" t="s">
        <v>132</v>
      </c>
      <c r="G31" s="119"/>
      <c r="H31" s="119"/>
      <c r="I31" s="119" t="s">
        <v>132</v>
      </c>
      <c r="J31" s="119"/>
      <c r="K31" s="119"/>
      <c r="L31" s="119" t="s">
        <v>132</v>
      </c>
      <c r="M31" s="119"/>
      <c r="N31" s="119"/>
      <c r="O31" s="119"/>
    </row>
    <row r="32" customFormat="false" ht="45" hidden="false" customHeight="true" outlineLevel="0" collapsed="false">
      <c r="A32" s="119" t="s">
        <v>578</v>
      </c>
      <c r="B32" s="48" t="s">
        <v>579</v>
      </c>
      <c r="C32" s="48" t="s">
        <v>580</v>
      </c>
      <c r="D32" s="120" t="s">
        <v>581</v>
      </c>
      <c r="E32" s="120" t="s">
        <v>92</v>
      </c>
      <c r="F32" s="119" t="s">
        <v>132</v>
      </c>
      <c r="G32" s="119"/>
      <c r="H32" s="119"/>
      <c r="I32" s="119" t="s">
        <v>132</v>
      </c>
      <c r="J32" s="119"/>
      <c r="K32" s="119"/>
      <c r="L32" s="119" t="s">
        <v>132</v>
      </c>
      <c r="M32" s="119"/>
      <c r="N32" s="119"/>
      <c r="O32" s="119"/>
    </row>
    <row r="33" customFormat="false" ht="72" hidden="false" customHeight="true" outlineLevel="0" collapsed="false">
      <c r="A33" s="119" t="s">
        <v>582</v>
      </c>
      <c r="B33" s="48" t="s">
        <v>583</v>
      </c>
      <c r="C33" s="48" t="s">
        <v>584</v>
      </c>
      <c r="D33" s="120" t="s">
        <v>585</v>
      </c>
      <c r="E33" s="120" t="s">
        <v>586</v>
      </c>
      <c r="F33" s="119" t="s">
        <v>132</v>
      </c>
      <c r="G33" s="119"/>
      <c r="H33" s="119"/>
      <c r="I33" s="119" t="s">
        <v>132</v>
      </c>
      <c r="J33" s="119"/>
      <c r="K33" s="119"/>
      <c r="L33" s="119" t="s">
        <v>132</v>
      </c>
      <c r="M33" s="119"/>
      <c r="N33" s="119"/>
      <c r="O33" s="119"/>
    </row>
    <row r="34" customFormat="false" ht="15.75" hidden="false" customHeight="true" outlineLevel="0" collapsed="false">
      <c r="A34" s="115" t="s">
        <v>93</v>
      </c>
      <c r="B34" s="115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customFormat="false" ht="45" hidden="false" customHeight="true" outlineLevel="0" collapsed="false">
      <c r="A35" s="119" t="s">
        <v>587</v>
      </c>
      <c r="B35" s="48" t="s">
        <v>588</v>
      </c>
      <c r="C35" s="48" t="s">
        <v>589</v>
      </c>
      <c r="D35" s="120" t="s">
        <v>590</v>
      </c>
      <c r="E35" s="120" t="s">
        <v>591</v>
      </c>
      <c r="F35" s="119" t="s">
        <v>132</v>
      </c>
      <c r="G35" s="119"/>
      <c r="H35" s="119"/>
      <c r="I35" s="119" t="s">
        <v>132</v>
      </c>
      <c r="J35" s="119"/>
      <c r="K35" s="119"/>
      <c r="L35" s="119" t="s">
        <v>132</v>
      </c>
      <c r="M35" s="119"/>
      <c r="N35" s="119"/>
      <c r="O35" s="119"/>
    </row>
    <row r="36" customFormat="false" ht="32.25" hidden="false" customHeight="true" outlineLevel="0" collapsed="false">
      <c r="A36" s="119" t="s">
        <v>592</v>
      </c>
      <c r="B36" s="48" t="s">
        <v>593</v>
      </c>
      <c r="C36" s="48" t="s">
        <v>594</v>
      </c>
      <c r="D36" s="120" t="s">
        <v>595</v>
      </c>
      <c r="E36" s="120" t="s">
        <v>596</v>
      </c>
      <c r="F36" s="119" t="s">
        <v>132</v>
      </c>
      <c r="G36" s="119"/>
      <c r="H36" s="119"/>
      <c r="I36" s="119" t="s">
        <v>132</v>
      </c>
      <c r="J36" s="119"/>
      <c r="K36" s="119"/>
      <c r="L36" s="119" t="s">
        <v>132</v>
      </c>
      <c r="M36" s="119"/>
      <c r="N36" s="119"/>
      <c r="O36" s="119"/>
    </row>
    <row r="37" customFormat="false" ht="32.25" hidden="false" customHeight="true" outlineLevel="0" collapsed="false">
      <c r="A37" s="119" t="s">
        <v>597</v>
      </c>
      <c r="B37" s="48" t="s">
        <v>598</v>
      </c>
      <c r="C37" s="48" t="s">
        <v>599</v>
      </c>
      <c r="D37" s="120" t="s">
        <v>600</v>
      </c>
      <c r="E37" s="120" t="s">
        <v>49</v>
      </c>
      <c r="F37" s="119" t="s">
        <v>132</v>
      </c>
      <c r="G37" s="119"/>
      <c r="H37" s="119"/>
      <c r="I37" s="119" t="s">
        <v>132</v>
      </c>
      <c r="J37" s="119"/>
      <c r="K37" s="119"/>
      <c r="L37" s="119" t="s">
        <v>132</v>
      </c>
      <c r="M37" s="119"/>
      <c r="N37" s="119"/>
      <c r="O37" s="119"/>
    </row>
    <row r="38" customFormat="false" ht="15.75" hidden="false" customHeight="true" outlineLevel="0" collapsed="false">
      <c r="A38" s="115" t="s">
        <v>95</v>
      </c>
      <c r="B38" s="115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7"/>
      <c r="Q38" s="118"/>
    </row>
    <row r="39" customFormat="false" ht="45" hidden="false" customHeight="true" outlineLevel="0" collapsed="false">
      <c r="A39" s="119" t="s">
        <v>601</v>
      </c>
      <c r="B39" s="48" t="s">
        <v>602</v>
      </c>
      <c r="C39" s="48" t="s">
        <v>603</v>
      </c>
      <c r="D39" s="120" t="s">
        <v>604</v>
      </c>
      <c r="E39" s="120" t="s">
        <v>605</v>
      </c>
      <c r="F39" s="119" t="s">
        <v>132</v>
      </c>
      <c r="G39" s="119"/>
      <c r="H39" s="119"/>
      <c r="I39" s="119" t="s">
        <v>132</v>
      </c>
      <c r="J39" s="119"/>
      <c r="K39" s="119"/>
      <c r="L39" s="119" t="s">
        <v>132</v>
      </c>
      <c r="M39" s="119"/>
      <c r="N39" s="119"/>
      <c r="O39" s="119"/>
      <c r="Q39" s="121"/>
    </row>
    <row r="40" customFormat="false" ht="58.5" hidden="false" customHeight="true" outlineLevel="0" collapsed="false">
      <c r="A40" s="119" t="s">
        <v>606</v>
      </c>
      <c r="B40" s="48" t="s">
        <v>607</v>
      </c>
      <c r="C40" s="48" t="s">
        <v>608</v>
      </c>
      <c r="D40" s="120" t="s">
        <v>609</v>
      </c>
      <c r="E40" s="120" t="s">
        <v>605</v>
      </c>
      <c r="F40" s="119" t="s">
        <v>132</v>
      </c>
      <c r="G40" s="119"/>
      <c r="H40" s="119"/>
      <c r="I40" s="119" t="s">
        <v>132</v>
      </c>
      <c r="J40" s="119"/>
      <c r="K40" s="119"/>
      <c r="L40" s="119" t="s">
        <v>132</v>
      </c>
      <c r="M40" s="119"/>
      <c r="N40" s="119"/>
      <c r="O40" s="119"/>
      <c r="Q40" s="121"/>
    </row>
    <row r="41" customFormat="false" ht="45" hidden="false" customHeight="true" outlineLevel="0" collapsed="false">
      <c r="A41" s="119" t="s">
        <v>610</v>
      </c>
      <c r="B41" s="48" t="s">
        <v>611</v>
      </c>
      <c r="C41" s="48" t="s">
        <v>612</v>
      </c>
      <c r="D41" s="120" t="s">
        <v>613</v>
      </c>
      <c r="E41" s="120" t="s">
        <v>614</v>
      </c>
      <c r="F41" s="119" t="s">
        <v>132</v>
      </c>
      <c r="G41" s="119"/>
      <c r="H41" s="119"/>
      <c r="I41" s="119" t="s">
        <v>132</v>
      </c>
      <c r="J41" s="119"/>
      <c r="K41" s="119"/>
      <c r="L41" s="119" t="s">
        <v>132</v>
      </c>
      <c r="M41" s="119"/>
      <c r="N41" s="119"/>
      <c r="O41" s="119"/>
      <c r="Q41" s="121"/>
    </row>
    <row r="42" customFormat="false" ht="45" hidden="false" customHeight="true" outlineLevel="0" collapsed="false">
      <c r="A42" s="119" t="s">
        <v>615</v>
      </c>
      <c r="B42" s="48" t="s">
        <v>616</v>
      </c>
      <c r="C42" s="48" t="s">
        <v>617</v>
      </c>
      <c r="D42" s="120" t="s">
        <v>618</v>
      </c>
      <c r="E42" s="120" t="s">
        <v>605</v>
      </c>
      <c r="F42" s="119" t="s">
        <v>132</v>
      </c>
      <c r="G42" s="119"/>
      <c r="H42" s="119"/>
      <c r="I42" s="119" t="s">
        <v>132</v>
      </c>
      <c r="J42" s="119"/>
      <c r="K42" s="119"/>
      <c r="L42" s="119" t="s">
        <v>132</v>
      </c>
      <c r="M42" s="119"/>
      <c r="N42" s="119"/>
      <c r="O42" s="119"/>
      <c r="Q42" s="118"/>
    </row>
    <row r="43" customFormat="false" ht="58.5" hidden="false" customHeight="true" outlineLevel="0" collapsed="false">
      <c r="A43" s="119" t="s">
        <v>619</v>
      </c>
      <c r="B43" s="48" t="s">
        <v>620</v>
      </c>
      <c r="C43" s="48" t="s">
        <v>621</v>
      </c>
      <c r="D43" s="120" t="s">
        <v>622</v>
      </c>
      <c r="E43" s="120" t="s">
        <v>623</v>
      </c>
      <c r="F43" s="119" t="s">
        <v>132</v>
      </c>
      <c r="G43" s="119"/>
      <c r="H43" s="119"/>
      <c r="I43" s="119" t="s">
        <v>132</v>
      </c>
      <c r="J43" s="119"/>
      <c r="K43" s="119"/>
      <c r="L43" s="119" t="s">
        <v>132</v>
      </c>
      <c r="M43" s="119"/>
      <c r="N43" s="119"/>
      <c r="O43" s="119"/>
      <c r="Q43" s="121"/>
    </row>
    <row r="44" customFormat="false" ht="45" hidden="false" customHeight="true" outlineLevel="0" collapsed="false">
      <c r="A44" s="119" t="s">
        <v>624</v>
      </c>
      <c r="B44" s="48" t="s">
        <v>625</v>
      </c>
      <c r="C44" s="48" t="s">
        <v>626</v>
      </c>
      <c r="D44" s="120" t="s">
        <v>627</v>
      </c>
      <c r="E44" s="120" t="s">
        <v>628</v>
      </c>
      <c r="F44" s="119" t="s">
        <v>132</v>
      </c>
      <c r="G44" s="119"/>
      <c r="H44" s="119"/>
      <c r="I44" s="119" t="s">
        <v>132</v>
      </c>
      <c r="J44" s="119"/>
      <c r="K44" s="119"/>
      <c r="L44" s="119" t="s">
        <v>132</v>
      </c>
      <c r="M44" s="119"/>
      <c r="N44" s="119"/>
      <c r="O44" s="119"/>
    </row>
    <row r="45" customFormat="false" ht="58.5" hidden="false" customHeight="true" outlineLevel="0" collapsed="false">
      <c r="A45" s="119" t="s">
        <v>629</v>
      </c>
      <c r="B45" s="48" t="s">
        <v>630</v>
      </c>
      <c r="C45" s="48" t="s">
        <v>631</v>
      </c>
      <c r="D45" s="120" t="s">
        <v>632</v>
      </c>
      <c r="E45" s="120" t="s">
        <v>633</v>
      </c>
      <c r="F45" s="119" t="s">
        <v>132</v>
      </c>
      <c r="G45" s="119"/>
      <c r="H45" s="119"/>
      <c r="I45" s="119" t="s">
        <v>132</v>
      </c>
      <c r="J45" s="119"/>
      <c r="K45" s="119"/>
      <c r="L45" s="119" t="s">
        <v>132</v>
      </c>
      <c r="M45" s="119"/>
      <c r="N45" s="119"/>
      <c r="O45" s="119"/>
      <c r="Q45" s="118"/>
    </row>
    <row r="46" customFormat="false" ht="58.5" hidden="false" customHeight="true" outlineLevel="0" collapsed="false">
      <c r="A46" s="119" t="s">
        <v>634</v>
      </c>
      <c r="B46" s="48" t="s">
        <v>635</v>
      </c>
      <c r="C46" s="48" t="s">
        <v>636</v>
      </c>
      <c r="D46" s="120" t="s">
        <v>637</v>
      </c>
      <c r="E46" s="120" t="s">
        <v>605</v>
      </c>
      <c r="F46" s="119" t="s">
        <v>132</v>
      </c>
      <c r="G46" s="119"/>
      <c r="H46" s="119"/>
      <c r="I46" s="119" t="s">
        <v>132</v>
      </c>
      <c r="J46" s="119"/>
      <c r="K46" s="119"/>
      <c r="L46" s="119" t="s">
        <v>132</v>
      </c>
      <c r="M46" s="119"/>
      <c r="N46" s="119"/>
      <c r="O46" s="119"/>
      <c r="Q46" s="121"/>
    </row>
    <row r="47" customFormat="false" ht="32.25" hidden="false" customHeight="true" outlineLevel="0" collapsed="false">
      <c r="A47" s="119" t="s">
        <v>638</v>
      </c>
      <c r="B47" s="48" t="s">
        <v>639</v>
      </c>
      <c r="C47" s="48" t="s">
        <v>640</v>
      </c>
      <c r="D47" s="120" t="s">
        <v>641</v>
      </c>
      <c r="E47" s="120" t="s">
        <v>642</v>
      </c>
      <c r="F47" s="119" t="s">
        <v>132</v>
      </c>
      <c r="G47" s="119"/>
      <c r="H47" s="119"/>
      <c r="I47" s="119" t="s">
        <v>132</v>
      </c>
      <c r="J47" s="119"/>
      <c r="K47" s="119"/>
      <c r="L47" s="119" t="s">
        <v>132</v>
      </c>
      <c r="M47" s="119"/>
      <c r="N47" s="119"/>
      <c r="O47" s="119"/>
    </row>
    <row r="48" customFormat="false" ht="15.75" hidden="false" customHeight="true" outlineLevel="0" collapsed="false">
      <c r="A48" s="115" t="s">
        <v>98</v>
      </c>
      <c r="B48" s="11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7"/>
    </row>
    <row r="49" customFormat="false" ht="58.5" hidden="false" customHeight="true" outlineLevel="0" collapsed="false">
      <c r="A49" s="119" t="s">
        <v>643</v>
      </c>
      <c r="B49" s="48" t="s">
        <v>644</v>
      </c>
      <c r="C49" s="48" t="s">
        <v>645</v>
      </c>
      <c r="D49" s="120" t="s">
        <v>646</v>
      </c>
      <c r="E49" s="120" t="s">
        <v>647</v>
      </c>
      <c r="F49" s="119" t="s">
        <v>132</v>
      </c>
      <c r="G49" s="119"/>
      <c r="H49" s="119"/>
      <c r="I49" s="119" t="s">
        <v>132</v>
      </c>
      <c r="J49" s="119"/>
      <c r="K49" s="119"/>
      <c r="L49" s="119" t="s">
        <v>132</v>
      </c>
      <c r="M49" s="119"/>
      <c r="N49" s="119"/>
      <c r="O49" s="119"/>
    </row>
    <row r="50" customFormat="false" ht="45" hidden="false" customHeight="true" outlineLevel="0" collapsed="false">
      <c r="A50" s="119" t="s">
        <v>648</v>
      </c>
      <c r="B50" s="48" t="s">
        <v>649</v>
      </c>
      <c r="C50" s="48" t="s">
        <v>650</v>
      </c>
      <c r="D50" s="120" t="s">
        <v>651</v>
      </c>
      <c r="E50" s="120" t="s">
        <v>605</v>
      </c>
      <c r="F50" s="119" t="s">
        <v>132</v>
      </c>
      <c r="G50" s="119"/>
      <c r="H50" s="119"/>
      <c r="I50" s="119" t="s">
        <v>132</v>
      </c>
      <c r="J50" s="119"/>
      <c r="K50" s="119"/>
      <c r="L50" s="119" t="s">
        <v>132</v>
      </c>
      <c r="M50" s="119"/>
      <c r="N50" s="119"/>
      <c r="O50" s="119"/>
    </row>
    <row r="51" customFormat="false" ht="32.25" hidden="false" customHeight="true" outlineLevel="0" collapsed="false">
      <c r="A51" s="119" t="s">
        <v>652</v>
      </c>
      <c r="B51" s="48" t="s">
        <v>653</v>
      </c>
      <c r="C51" s="48" t="s">
        <v>654</v>
      </c>
      <c r="D51" s="120" t="s">
        <v>655</v>
      </c>
      <c r="E51" s="120" t="s">
        <v>656</v>
      </c>
      <c r="F51" s="119" t="s">
        <v>132</v>
      </c>
      <c r="G51" s="119"/>
      <c r="H51" s="119"/>
      <c r="I51" s="119" t="s">
        <v>132</v>
      </c>
      <c r="J51" s="119"/>
      <c r="K51" s="119"/>
      <c r="L51" s="119" t="s">
        <v>132</v>
      </c>
      <c r="M51" s="119"/>
      <c r="N51" s="119"/>
      <c r="O51" s="119"/>
    </row>
    <row r="52" customFormat="false" ht="15.75" hidden="false" customHeight="true" outlineLevel="0" collapsed="false">
      <c r="A52" s="115" t="s">
        <v>100</v>
      </c>
      <c r="B52" s="115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7"/>
      <c r="Q52" s="118"/>
    </row>
    <row r="53" customFormat="false" ht="58.5" hidden="false" customHeight="true" outlineLevel="0" collapsed="false">
      <c r="A53" s="119" t="s">
        <v>657</v>
      </c>
      <c r="B53" s="48" t="s">
        <v>658</v>
      </c>
      <c r="C53" s="48" t="s">
        <v>659</v>
      </c>
      <c r="D53" s="120" t="s">
        <v>660</v>
      </c>
      <c r="E53" s="120" t="s">
        <v>605</v>
      </c>
      <c r="F53" s="119" t="s">
        <v>132</v>
      </c>
      <c r="G53" s="119"/>
      <c r="H53" s="119"/>
      <c r="I53" s="119" t="s">
        <v>132</v>
      </c>
      <c r="J53" s="119"/>
      <c r="K53" s="119"/>
      <c r="L53" s="119" t="s">
        <v>132</v>
      </c>
      <c r="M53" s="119"/>
      <c r="N53" s="119"/>
      <c r="O53" s="119"/>
      <c r="Q53" s="121"/>
    </row>
    <row r="54" customFormat="false" ht="45" hidden="false" customHeight="true" outlineLevel="0" collapsed="false">
      <c r="A54" s="119" t="s">
        <v>661</v>
      </c>
      <c r="B54" s="48" t="s">
        <v>662</v>
      </c>
      <c r="C54" s="48" t="s">
        <v>663</v>
      </c>
      <c r="D54" s="120" t="s">
        <v>664</v>
      </c>
      <c r="E54" s="120" t="s">
        <v>665</v>
      </c>
      <c r="F54" s="119" t="s">
        <v>132</v>
      </c>
      <c r="G54" s="119"/>
      <c r="H54" s="119"/>
      <c r="I54" s="119" t="s">
        <v>132</v>
      </c>
      <c r="J54" s="119"/>
      <c r="K54" s="119"/>
      <c r="L54" s="119" t="s">
        <v>132</v>
      </c>
      <c r="M54" s="119"/>
      <c r="N54" s="119"/>
      <c r="O54" s="119"/>
      <c r="Q54" s="121"/>
    </row>
    <row r="55" customFormat="false" ht="45" hidden="false" customHeight="true" outlineLevel="0" collapsed="false">
      <c r="A55" s="119" t="s">
        <v>666</v>
      </c>
      <c r="B55" s="48" t="s">
        <v>667</v>
      </c>
      <c r="C55" s="48" t="s">
        <v>668</v>
      </c>
      <c r="D55" s="120" t="s">
        <v>669</v>
      </c>
      <c r="E55" s="120" t="s">
        <v>605</v>
      </c>
      <c r="F55" s="119" t="s">
        <v>132</v>
      </c>
      <c r="G55" s="119"/>
      <c r="H55" s="119"/>
      <c r="I55" s="119" t="s">
        <v>132</v>
      </c>
      <c r="J55" s="119"/>
      <c r="K55" s="119"/>
      <c r="L55" s="119" t="s">
        <v>132</v>
      </c>
      <c r="M55" s="119"/>
      <c r="N55" s="119"/>
      <c r="O55" s="119"/>
      <c r="Q55" s="121"/>
    </row>
    <row r="56" customFormat="false" ht="32.25" hidden="false" customHeight="true" outlineLevel="0" collapsed="false">
      <c r="A56" s="119" t="s">
        <v>670</v>
      </c>
      <c r="B56" s="48" t="s">
        <v>671</v>
      </c>
      <c r="C56" s="48" t="s">
        <v>672</v>
      </c>
      <c r="D56" s="120" t="s">
        <v>673</v>
      </c>
      <c r="E56" s="120" t="s">
        <v>642</v>
      </c>
      <c r="F56" s="119" t="s">
        <v>132</v>
      </c>
      <c r="G56" s="119"/>
      <c r="H56" s="119"/>
      <c r="I56" s="119" t="s">
        <v>132</v>
      </c>
      <c r="J56" s="119"/>
      <c r="K56" s="119"/>
      <c r="L56" s="119" t="s">
        <v>132</v>
      </c>
      <c r="M56" s="119"/>
      <c r="N56" s="119"/>
      <c r="O56" s="119"/>
      <c r="Q56" s="118"/>
    </row>
    <row r="57" customFormat="false" ht="15.75" hidden="false" customHeight="true" outlineLevel="0" collapsed="false">
      <c r="A57" s="115" t="s">
        <v>102</v>
      </c>
      <c r="B57" s="115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7"/>
      <c r="Q57" s="121"/>
    </row>
    <row r="58" customFormat="false" ht="58.5" hidden="false" customHeight="true" outlineLevel="0" collapsed="false">
      <c r="A58" s="119" t="s">
        <v>674</v>
      </c>
      <c r="B58" s="48" t="s">
        <v>675</v>
      </c>
      <c r="C58" s="48" t="s">
        <v>676</v>
      </c>
      <c r="D58" s="120" t="s">
        <v>677</v>
      </c>
      <c r="E58" s="120" t="s">
        <v>104</v>
      </c>
      <c r="F58" s="119" t="s">
        <v>132</v>
      </c>
      <c r="G58" s="119"/>
      <c r="H58" s="119"/>
      <c r="I58" s="119" t="s">
        <v>132</v>
      </c>
      <c r="J58" s="119"/>
      <c r="K58" s="119"/>
      <c r="L58" s="119" t="s">
        <v>132</v>
      </c>
      <c r="M58" s="119"/>
      <c r="N58" s="119"/>
      <c r="O58" s="119"/>
    </row>
    <row r="59" customFormat="false" ht="32.25" hidden="false" customHeight="true" outlineLevel="0" collapsed="false">
      <c r="A59" s="119" t="s">
        <v>678</v>
      </c>
      <c r="B59" s="48" t="s">
        <v>679</v>
      </c>
      <c r="C59" s="48" t="s">
        <v>680</v>
      </c>
      <c r="D59" s="120" t="s">
        <v>681</v>
      </c>
      <c r="E59" s="120" t="s">
        <v>682</v>
      </c>
      <c r="F59" s="119" t="s">
        <v>132</v>
      </c>
      <c r="G59" s="119"/>
      <c r="H59" s="119"/>
      <c r="I59" s="119" t="s">
        <v>132</v>
      </c>
      <c r="J59" s="119"/>
      <c r="K59" s="119"/>
      <c r="L59" s="119" t="s">
        <v>132</v>
      </c>
      <c r="M59" s="119"/>
      <c r="N59" s="119"/>
      <c r="O59" s="119"/>
      <c r="Q59" s="118"/>
    </row>
    <row r="60" customFormat="false" ht="58.5" hidden="false" customHeight="true" outlineLevel="0" collapsed="false">
      <c r="A60" s="119" t="s">
        <v>683</v>
      </c>
      <c r="B60" s="48" t="s">
        <v>684</v>
      </c>
      <c r="C60" s="48" t="s">
        <v>685</v>
      </c>
      <c r="D60" s="120" t="s">
        <v>686</v>
      </c>
      <c r="E60" s="120" t="s">
        <v>687</v>
      </c>
      <c r="F60" s="119" t="s">
        <v>132</v>
      </c>
      <c r="G60" s="119"/>
      <c r="H60" s="119"/>
      <c r="I60" s="119" t="s">
        <v>132</v>
      </c>
      <c r="J60" s="119"/>
      <c r="K60" s="119"/>
      <c r="L60" s="119" t="s">
        <v>132</v>
      </c>
      <c r="M60" s="119"/>
      <c r="N60" s="119"/>
      <c r="O60" s="119"/>
      <c r="Q60" s="121"/>
    </row>
    <row r="61" customFormat="false" ht="45" hidden="false" customHeight="true" outlineLevel="0" collapsed="false">
      <c r="A61" s="119" t="s">
        <v>688</v>
      </c>
      <c r="B61" s="48" t="s">
        <v>689</v>
      </c>
      <c r="C61" s="48" t="s">
        <v>690</v>
      </c>
      <c r="D61" s="120" t="s">
        <v>691</v>
      </c>
      <c r="E61" s="120" t="s">
        <v>628</v>
      </c>
      <c r="F61" s="119" t="s">
        <v>132</v>
      </c>
      <c r="G61" s="119"/>
      <c r="H61" s="119"/>
      <c r="I61" s="119" t="s">
        <v>132</v>
      </c>
      <c r="J61" s="119"/>
      <c r="K61" s="119"/>
      <c r="L61" s="119" t="s">
        <v>132</v>
      </c>
      <c r="M61" s="119"/>
      <c r="N61" s="119"/>
      <c r="O61" s="119"/>
    </row>
    <row r="62" customFormat="false" ht="45" hidden="false" customHeight="true" outlineLevel="0" collapsed="false">
      <c r="A62" s="119" t="s">
        <v>692</v>
      </c>
      <c r="B62" s="48" t="s">
        <v>693</v>
      </c>
      <c r="C62" s="48" t="s">
        <v>694</v>
      </c>
      <c r="D62" s="120" t="s">
        <v>695</v>
      </c>
      <c r="E62" s="120" t="s">
        <v>687</v>
      </c>
      <c r="F62" s="119" t="s">
        <v>132</v>
      </c>
      <c r="G62" s="119"/>
      <c r="H62" s="119"/>
      <c r="I62" s="119" t="s">
        <v>132</v>
      </c>
      <c r="J62" s="119"/>
      <c r="K62" s="119"/>
      <c r="L62" s="119" t="s">
        <v>132</v>
      </c>
      <c r="M62" s="119"/>
      <c r="N62" s="119"/>
      <c r="O62" s="119"/>
    </row>
    <row r="63" customFormat="false" ht="32.25" hidden="false" customHeight="true" outlineLevel="0" collapsed="false">
      <c r="A63" s="119" t="s">
        <v>696</v>
      </c>
      <c r="B63" s="48" t="s">
        <v>697</v>
      </c>
      <c r="C63" s="48" t="s">
        <v>698</v>
      </c>
      <c r="D63" s="120" t="s">
        <v>600</v>
      </c>
      <c r="E63" s="120" t="s">
        <v>82</v>
      </c>
      <c r="F63" s="119" t="s">
        <v>132</v>
      </c>
      <c r="G63" s="119"/>
      <c r="H63" s="119"/>
      <c r="I63" s="119" t="s">
        <v>132</v>
      </c>
      <c r="J63" s="119"/>
      <c r="K63" s="119"/>
      <c r="L63" s="119" t="s">
        <v>132</v>
      </c>
      <c r="M63" s="119"/>
      <c r="N63" s="119"/>
      <c r="O63" s="119"/>
    </row>
    <row r="64" customFormat="false" ht="15.75" hidden="false" customHeight="true" outlineLevel="0" collapsed="false">
      <c r="A64" s="115" t="s">
        <v>105</v>
      </c>
      <c r="B64" s="115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7"/>
      <c r="Q64" s="118"/>
    </row>
    <row r="65" customFormat="false" ht="32.25" hidden="false" customHeight="true" outlineLevel="0" collapsed="false">
      <c r="A65" s="119" t="s">
        <v>699</v>
      </c>
      <c r="B65" s="48" t="s">
        <v>700</v>
      </c>
      <c r="C65" s="48" t="s">
        <v>701</v>
      </c>
      <c r="D65" s="120" t="s">
        <v>702</v>
      </c>
      <c r="E65" s="120" t="s">
        <v>52</v>
      </c>
      <c r="F65" s="119" t="s">
        <v>132</v>
      </c>
      <c r="G65" s="119"/>
      <c r="H65" s="119"/>
      <c r="I65" s="119" t="s">
        <v>132</v>
      </c>
      <c r="J65" s="119"/>
      <c r="K65" s="119"/>
      <c r="L65" s="119" t="s">
        <v>132</v>
      </c>
      <c r="M65" s="119"/>
      <c r="N65" s="119"/>
      <c r="O65" s="119"/>
      <c r="Q65" s="121"/>
    </row>
    <row r="66" customFormat="false" ht="45" hidden="false" customHeight="true" outlineLevel="0" collapsed="false">
      <c r="A66" s="119" t="s">
        <v>703</v>
      </c>
      <c r="B66" s="48" t="s">
        <v>704</v>
      </c>
      <c r="C66" s="48" t="s">
        <v>705</v>
      </c>
      <c r="D66" s="120" t="s">
        <v>706</v>
      </c>
      <c r="E66" s="120" t="s">
        <v>707</v>
      </c>
      <c r="F66" s="119" t="s">
        <v>132</v>
      </c>
      <c r="G66" s="119"/>
      <c r="H66" s="119"/>
      <c r="I66" s="119" t="s">
        <v>132</v>
      </c>
      <c r="J66" s="119"/>
      <c r="K66" s="119"/>
      <c r="L66" s="119" t="s">
        <v>132</v>
      </c>
      <c r="M66" s="119"/>
      <c r="N66" s="119"/>
      <c r="O66" s="119"/>
      <c r="Q66" s="121"/>
    </row>
    <row r="67" customFormat="false" ht="45" hidden="false" customHeight="true" outlineLevel="0" collapsed="false">
      <c r="A67" s="119" t="s">
        <v>708</v>
      </c>
      <c r="B67" s="48" t="s">
        <v>709</v>
      </c>
      <c r="C67" s="48" t="s">
        <v>710</v>
      </c>
      <c r="D67" s="120" t="s">
        <v>711</v>
      </c>
      <c r="E67" s="120" t="s">
        <v>49</v>
      </c>
      <c r="F67" s="119" t="s">
        <v>132</v>
      </c>
      <c r="G67" s="119"/>
      <c r="H67" s="119"/>
      <c r="I67" s="119" t="s">
        <v>132</v>
      </c>
      <c r="J67" s="119"/>
      <c r="K67" s="119"/>
      <c r="L67" s="119" t="s">
        <v>132</v>
      </c>
      <c r="M67" s="119"/>
      <c r="N67" s="119"/>
      <c r="O67" s="119"/>
      <c r="Q67" s="121"/>
    </row>
    <row r="68" customFormat="false" ht="32.25" hidden="false" customHeight="true" outlineLevel="0" collapsed="false">
      <c r="A68" s="119" t="s">
        <v>712</v>
      </c>
      <c r="B68" s="48" t="s">
        <v>713</v>
      </c>
      <c r="C68" s="48" t="s">
        <v>714</v>
      </c>
      <c r="D68" s="120" t="s">
        <v>715</v>
      </c>
      <c r="E68" s="120" t="s">
        <v>716</v>
      </c>
      <c r="F68" s="119" t="s">
        <v>132</v>
      </c>
      <c r="G68" s="119"/>
      <c r="H68" s="119"/>
      <c r="I68" s="119" t="s">
        <v>132</v>
      </c>
      <c r="J68" s="119"/>
      <c r="K68" s="119"/>
      <c r="L68" s="119" t="s">
        <v>132</v>
      </c>
      <c r="M68" s="119"/>
      <c r="N68" s="119"/>
      <c r="O68" s="119"/>
      <c r="Q68" s="118"/>
    </row>
    <row r="69" customFormat="false" ht="15.75" hidden="false" customHeight="true" outlineLevel="0" collapsed="false">
      <c r="A69" s="115" t="s">
        <v>107</v>
      </c>
      <c r="B69" s="115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7"/>
      <c r="Q69" s="121"/>
    </row>
    <row r="70" customFormat="false" ht="32.25" hidden="false" customHeight="true" outlineLevel="0" collapsed="false">
      <c r="A70" s="119" t="s">
        <v>717</v>
      </c>
      <c r="B70" s="48" t="s">
        <v>718</v>
      </c>
      <c r="C70" s="48" t="s">
        <v>719</v>
      </c>
      <c r="D70" s="120" t="s">
        <v>720</v>
      </c>
      <c r="E70" s="120" t="s">
        <v>721</v>
      </c>
      <c r="F70" s="119" t="s">
        <v>132</v>
      </c>
      <c r="G70" s="119"/>
      <c r="H70" s="119"/>
      <c r="I70" s="119" t="s">
        <v>132</v>
      </c>
      <c r="J70" s="119"/>
      <c r="K70" s="119"/>
      <c r="L70" s="119" t="s">
        <v>132</v>
      </c>
      <c r="M70" s="119"/>
      <c r="N70" s="119"/>
      <c r="O70" s="119"/>
    </row>
    <row r="71" customFormat="false" ht="45" hidden="false" customHeight="true" outlineLevel="0" collapsed="false">
      <c r="A71" s="119" t="s">
        <v>722</v>
      </c>
      <c r="B71" s="48" t="s">
        <v>723</v>
      </c>
      <c r="C71" s="48" t="s">
        <v>724</v>
      </c>
      <c r="D71" s="120" t="s">
        <v>725</v>
      </c>
      <c r="E71" s="120" t="s">
        <v>49</v>
      </c>
      <c r="F71" s="119" t="s">
        <v>132</v>
      </c>
      <c r="G71" s="119"/>
      <c r="H71" s="119"/>
      <c r="I71" s="119" t="s">
        <v>132</v>
      </c>
      <c r="J71" s="119"/>
      <c r="K71" s="119"/>
      <c r="L71" s="119" t="s">
        <v>132</v>
      </c>
      <c r="M71" s="119"/>
      <c r="N71" s="119"/>
      <c r="O71" s="119"/>
      <c r="Q71" s="118"/>
    </row>
    <row r="72" customFormat="false" ht="32.25" hidden="false" customHeight="true" outlineLevel="0" collapsed="false">
      <c r="A72" s="119" t="s">
        <v>726</v>
      </c>
      <c r="B72" s="48" t="s">
        <v>727</v>
      </c>
      <c r="C72" s="48" t="s">
        <v>728</v>
      </c>
      <c r="D72" s="120" t="s">
        <v>729</v>
      </c>
      <c r="E72" s="120" t="s">
        <v>730</v>
      </c>
      <c r="F72" s="119" t="s">
        <v>132</v>
      </c>
      <c r="G72" s="119"/>
      <c r="H72" s="119"/>
      <c r="I72" s="119" t="s">
        <v>132</v>
      </c>
      <c r="J72" s="119"/>
      <c r="K72" s="119"/>
      <c r="L72" s="119" t="s">
        <v>132</v>
      </c>
      <c r="M72" s="119"/>
      <c r="N72" s="119"/>
      <c r="O72" s="119"/>
      <c r="Q72" s="121"/>
    </row>
    <row r="73" customFormat="false" ht="58.5" hidden="false" customHeight="true" outlineLevel="0" collapsed="false">
      <c r="A73" s="119" t="s">
        <v>731</v>
      </c>
      <c r="B73" s="48" t="s">
        <v>732</v>
      </c>
      <c r="C73" s="48" t="s">
        <v>733</v>
      </c>
      <c r="D73" s="120" t="s">
        <v>734</v>
      </c>
      <c r="E73" s="120" t="s">
        <v>52</v>
      </c>
      <c r="F73" s="119" t="s">
        <v>132</v>
      </c>
      <c r="G73" s="119"/>
      <c r="H73" s="119"/>
      <c r="I73" s="119" t="s">
        <v>132</v>
      </c>
      <c r="J73" s="119"/>
      <c r="K73" s="119"/>
      <c r="L73" s="119" t="s">
        <v>132</v>
      </c>
      <c r="M73" s="119"/>
      <c r="N73" s="119"/>
      <c r="O73" s="119"/>
    </row>
  </sheetData>
  <mergeCells count="3">
    <mergeCell ref="B2:E2"/>
    <mergeCell ref="B3:E3"/>
    <mergeCell ref="B4:E4"/>
  </mergeCells>
  <dataValidations count="1">
    <dataValidation allowBlank="true" errorStyle="stop" operator="between" showDropDown="false" showErrorMessage="false" showInputMessage="false" sqref="F11:F123 I11:I123 L11:L123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2.75" zeroHeight="false" outlineLevelRow="0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2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98" customFormat="true" ht="15" hidden="false" customHeight="true" outlineLevel="0" collapsed="false">
      <c r="A2" s="93" t="s">
        <v>139</v>
      </c>
      <c r="B2" s="94" t="s">
        <v>735</v>
      </c>
      <c r="C2" s="94"/>
      <c r="D2" s="94"/>
      <c r="E2" s="94"/>
      <c r="F2" s="95"/>
      <c r="G2" s="96"/>
      <c r="H2" s="46"/>
      <c r="I2" s="95"/>
      <c r="J2" s="96"/>
      <c r="K2" s="46"/>
      <c r="L2" s="95"/>
      <c r="M2" s="96"/>
      <c r="N2" s="46"/>
      <c r="O2" s="46"/>
      <c r="P2" s="46"/>
      <c r="Q2" s="97"/>
      <c r="R2" s="98" t="s">
        <v>130</v>
      </c>
    </row>
    <row r="3" s="98" customFormat="true" ht="21" hidden="false" customHeight="true" outlineLevel="0" collapsed="false">
      <c r="A3" s="99" t="s">
        <v>141</v>
      </c>
      <c r="B3" s="100" t="s">
        <v>736</v>
      </c>
      <c r="C3" s="100"/>
      <c r="D3" s="100"/>
      <c r="E3" s="100"/>
      <c r="F3" s="95"/>
      <c r="G3" s="96"/>
      <c r="H3" s="46"/>
      <c r="I3" s="95"/>
      <c r="J3" s="96"/>
      <c r="K3" s="46"/>
      <c r="L3" s="95"/>
      <c r="M3" s="96"/>
      <c r="N3" s="46"/>
      <c r="O3" s="46"/>
      <c r="P3" s="46"/>
      <c r="Q3" s="97"/>
      <c r="R3" s="98" t="s">
        <v>131</v>
      </c>
    </row>
    <row r="4" s="98" customFormat="true" ht="18" hidden="false" customHeight="true" outlineLevel="0" collapsed="false">
      <c r="A4" s="99" t="s">
        <v>143</v>
      </c>
      <c r="B4" s="100" t="n">
        <f aca="false">COUNTA(B11:B1000)</f>
        <v>13</v>
      </c>
      <c r="C4" s="100"/>
      <c r="D4" s="100"/>
      <c r="E4" s="100"/>
      <c r="F4" s="95"/>
      <c r="G4" s="96"/>
      <c r="H4" s="46"/>
      <c r="I4" s="95"/>
      <c r="J4" s="96"/>
      <c r="K4" s="46"/>
      <c r="L4" s="95"/>
      <c r="M4" s="96"/>
      <c r="N4" s="46"/>
      <c r="O4" s="46"/>
      <c r="P4" s="46"/>
      <c r="Q4" s="97"/>
      <c r="R4" s="98" t="s">
        <v>132</v>
      </c>
    </row>
    <row r="5" s="98" customFormat="true" ht="19.5" hidden="false" customHeight="true" outlineLevel="0" collapsed="false">
      <c r="A5" s="101" t="s">
        <v>144</v>
      </c>
      <c r="B5" s="102" t="s">
        <v>130</v>
      </c>
      <c r="C5" s="102" t="s">
        <v>131</v>
      </c>
      <c r="D5" s="102" t="s">
        <v>132</v>
      </c>
      <c r="E5" s="103" t="s">
        <v>133</v>
      </c>
      <c r="F5" s="104"/>
      <c r="G5" s="104"/>
      <c r="H5" s="105"/>
      <c r="I5" s="104"/>
      <c r="J5" s="104"/>
      <c r="K5" s="105"/>
      <c r="L5" s="104"/>
      <c r="M5" s="104"/>
      <c r="N5" s="105"/>
      <c r="O5" s="105"/>
      <c r="P5" s="105"/>
      <c r="Q5" s="106"/>
      <c r="R5" s="98" t="s">
        <v>133</v>
      </c>
    </row>
    <row r="6" s="98" customFormat="true" ht="15" hidden="false" customHeight="true" outlineLevel="0" collapsed="false">
      <c r="A6" s="101" t="s">
        <v>145</v>
      </c>
      <c r="B6" s="107" t="n">
        <f aca="false">COUNTIF($F$11:$F$1000,B$5)</f>
        <v>0</v>
      </c>
      <c r="C6" s="107" t="n">
        <f aca="false">COUNTIF($F$11:$F$1000,C$5)</f>
        <v>0</v>
      </c>
      <c r="D6" s="107" t="n">
        <f aca="false">COUNTIF($F$11:$F$1000,D$5)</f>
        <v>13</v>
      </c>
      <c r="E6" s="108" t="n">
        <f aca="false">COUNTIF($F$11:$F$1000,E$5)</f>
        <v>0</v>
      </c>
      <c r="F6" s="109"/>
      <c r="G6" s="109"/>
      <c r="H6" s="105"/>
      <c r="I6" s="109"/>
      <c r="J6" s="109"/>
      <c r="K6" s="105"/>
      <c r="L6" s="109"/>
      <c r="M6" s="109"/>
      <c r="N6" s="105"/>
      <c r="O6" s="105"/>
      <c r="P6" s="105"/>
      <c r="Q6" s="106"/>
    </row>
    <row r="7" s="98" customFormat="true" ht="15" hidden="false" customHeight="true" outlineLevel="0" collapsed="false">
      <c r="A7" s="101" t="s">
        <v>146</v>
      </c>
      <c r="B7" s="107" t="n">
        <f aca="false">COUNTIF($I$11:$I$1000,B$5)</f>
        <v>0</v>
      </c>
      <c r="C7" s="107" t="n">
        <f aca="false">COUNTIF($I$11:$I$1000,C$5)</f>
        <v>0</v>
      </c>
      <c r="D7" s="107" t="n">
        <f aca="false">COUNTIF($I$11:$I$1000,D$5)</f>
        <v>13</v>
      </c>
      <c r="E7" s="108" t="n">
        <f aca="false">COUNTIF($I$11:$I$1000,E$5)</f>
        <v>0</v>
      </c>
      <c r="F7" s="109"/>
      <c r="G7" s="109"/>
      <c r="H7" s="105"/>
      <c r="I7" s="109"/>
      <c r="J7" s="109"/>
      <c r="K7" s="105"/>
      <c r="L7" s="109"/>
      <c r="M7" s="109"/>
      <c r="N7" s="105"/>
      <c r="O7" s="105"/>
      <c r="P7" s="105"/>
      <c r="Q7" s="106"/>
    </row>
    <row r="8" s="98" customFormat="true" ht="15" hidden="false" customHeight="true" outlineLevel="0" collapsed="false">
      <c r="A8" s="110" t="s">
        <v>147</v>
      </c>
      <c r="B8" s="111" t="n">
        <f aca="false">COUNTIF($L$11:$L$1000,B$5)</f>
        <v>0</v>
      </c>
      <c r="C8" s="111" t="n">
        <f aca="false">COUNTIF($L$11:$L$1000,C$5)</f>
        <v>0</v>
      </c>
      <c r="D8" s="111" t="n">
        <f aca="false">COUNTIF($L$11:$L$1000,D$5)</f>
        <v>13</v>
      </c>
      <c r="E8" s="112" t="n">
        <f aca="false">COUNTIF($L$11:$L$1000,E$5)</f>
        <v>0</v>
      </c>
      <c r="F8" s="109"/>
      <c r="G8" s="109"/>
      <c r="H8" s="105"/>
      <c r="I8" s="109"/>
      <c r="J8" s="109"/>
      <c r="K8" s="105"/>
      <c r="L8" s="109"/>
      <c r="M8" s="109"/>
      <c r="N8" s="105"/>
      <c r="O8" s="105"/>
      <c r="P8" s="105"/>
      <c r="Q8" s="106"/>
    </row>
    <row r="9" s="98" customFormat="true" ht="15" hidden="false" customHeight="true" outlineLevel="0" collapsed="false">
      <c r="A9" s="105"/>
      <c r="B9" s="105"/>
      <c r="C9" s="105"/>
      <c r="D9" s="105"/>
      <c r="E9" s="105"/>
      <c r="F9" s="91"/>
      <c r="G9" s="105"/>
      <c r="H9" s="105"/>
      <c r="I9" s="91"/>
      <c r="J9" s="105"/>
      <c r="K9" s="105"/>
      <c r="L9" s="91"/>
      <c r="M9" s="105"/>
      <c r="N9" s="105"/>
      <c r="O9" s="105"/>
      <c r="P9" s="105"/>
      <c r="Q9" s="106"/>
    </row>
    <row r="10" s="98" customFormat="true" ht="25.5" hidden="false" customHeight="true" outlineLevel="0" collapsed="false">
      <c r="A10" s="113" t="s">
        <v>148</v>
      </c>
      <c r="B10" s="113" t="s">
        <v>149</v>
      </c>
      <c r="C10" s="113" t="s">
        <v>150</v>
      </c>
      <c r="D10" s="113" t="s">
        <v>151</v>
      </c>
      <c r="E10" s="113" t="s">
        <v>152</v>
      </c>
      <c r="F10" s="113" t="s">
        <v>145</v>
      </c>
      <c r="G10" s="113" t="s">
        <v>153</v>
      </c>
      <c r="H10" s="113" t="s">
        <v>154</v>
      </c>
      <c r="I10" s="113" t="s">
        <v>146</v>
      </c>
      <c r="J10" s="113" t="s">
        <v>153</v>
      </c>
      <c r="K10" s="113" t="s">
        <v>154</v>
      </c>
      <c r="L10" s="113" t="s">
        <v>147</v>
      </c>
      <c r="M10" s="113" t="s">
        <v>153</v>
      </c>
      <c r="N10" s="113" t="s">
        <v>154</v>
      </c>
      <c r="O10" s="113" t="s">
        <v>155</v>
      </c>
      <c r="Q10" s="114"/>
    </row>
    <row r="11" customFormat="false" ht="15.75" hidden="false" customHeight="true" outlineLevel="0" collapsed="false">
      <c r="A11" s="115" t="s">
        <v>109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  <c r="Q11" s="118"/>
    </row>
    <row r="12" customFormat="false" ht="58.5" hidden="false" customHeight="true" outlineLevel="0" collapsed="false">
      <c r="A12" s="119" t="s">
        <v>737</v>
      </c>
      <c r="B12" s="48" t="s">
        <v>738</v>
      </c>
      <c r="C12" s="48" t="s">
        <v>739</v>
      </c>
      <c r="D12" s="120" t="s">
        <v>740</v>
      </c>
      <c r="E12" s="120" t="s">
        <v>741</v>
      </c>
      <c r="F12" s="119" t="s">
        <v>132</v>
      </c>
      <c r="G12" s="119"/>
      <c r="H12" s="119"/>
      <c r="I12" s="119" t="s">
        <v>132</v>
      </c>
      <c r="J12" s="119"/>
      <c r="K12" s="119"/>
      <c r="L12" s="119" t="s">
        <v>132</v>
      </c>
      <c r="M12" s="119"/>
      <c r="N12" s="119"/>
      <c r="O12" s="119"/>
      <c r="Q12" s="121"/>
    </row>
    <row r="13" customFormat="false" ht="32.25" hidden="false" customHeight="true" outlineLevel="0" collapsed="false">
      <c r="A13" s="119" t="s">
        <v>742</v>
      </c>
      <c r="B13" s="48" t="s">
        <v>743</v>
      </c>
      <c r="C13" s="48" t="s">
        <v>744</v>
      </c>
      <c r="D13" s="120" t="s">
        <v>745</v>
      </c>
      <c r="E13" s="120" t="s">
        <v>614</v>
      </c>
      <c r="F13" s="119" t="s">
        <v>132</v>
      </c>
      <c r="G13" s="119"/>
      <c r="H13" s="119"/>
      <c r="I13" s="119" t="s">
        <v>132</v>
      </c>
      <c r="J13" s="119"/>
      <c r="K13" s="119"/>
      <c r="L13" s="119" t="s">
        <v>132</v>
      </c>
      <c r="M13" s="119"/>
      <c r="N13" s="119"/>
      <c r="O13" s="119"/>
      <c r="Q13" s="121"/>
    </row>
    <row r="14" customFormat="false" ht="32.25" hidden="false" customHeight="true" outlineLevel="0" collapsed="false">
      <c r="A14" s="119" t="s">
        <v>746</v>
      </c>
      <c r="B14" s="48" t="s">
        <v>747</v>
      </c>
      <c r="C14" s="48" t="s">
        <v>748</v>
      </c>
      <c r="D14" s="120" t="s">
        <v>749</v>
      </c>
      <c r="E14" s="120" t="s">
        <v>750</v>
      </c>
      <c r="F14" s="119" t="s">
        <v>132</v>
      </c>
      <c r="G14" s="119"/>
      <c r="H14" s="119"/>
      <c r="I14" s="119" t="s">
        <v>132</v>
      </c>
      <c r="J14" s="119"/>
      <c r="K14" s="119"/>
      <c r="L14" s="119" t="s">
        <v>132</v>
      </c>
      <c r="M14" s="119"/>
      <c r="N14" s="119"/>
      <c r="O14" s="119"/>
      <c r="Q14" s="121"/>
    </row>
    <row r="15" customFormat="false" ht="32.25" hidden="false" customHeight="true" outlineLevel="0" collapsed="false">
      <c r="A15" s="119" t="s">
        <v>751</v>
      </c>
      <c r="B15" s="48" t="s">
        <v>752</v>
      </c>
      <c r="C15" s="48" t="s">
        <v>753</v>
      </c>
      <c r="D15" s="120" t="s">
        <v>754</v>
      </c>
      <c r="E15" s="120" t="s">
        <v>755</v>
      </c>
      <c r="F15" s="119" t="s">
        <v>132</v>
      </c>
      <c r="G15" s="119"/>
      <c r="H15" s="119"/>
      <c r="I15" s="119" t="s">
        <v>132</v>
      </c>
      <c r="J15" s="119"/>
      <c r="K15" s="119"/>
      <c r="L15" s="119" t="s">
        <v>132</v>
      </c>
      <c r="M15" s="119"/>
      <c r="N15" s="119"/>
      <c r="O15" s="119"/>
      <c r="Q15" s="118"/>
    </row>
    <row r="16" customFormat="false" ht="15.75" hidden="false" customHeight="true" outlineLevel="0" collapsed="false">
      <c r="A16" s="115" t="s">
        <v>112</v>
      </c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7"/>
      <c r="Q16" s="121"/>
    </row>
    <row r="17" customFormat="false" ht="58.5" hidden="false" customHeight="true" outlineLevel="0" collapsed="false">
      <c r="A17" s="119" t="s">
        <v>756</v>
      </c>
      <c r="B17" s="48" t="s">
        <v>757</v>
      </c>
      <c r="C17" s="48" t="s">
        <v>758</v>
      </c>
      <c r="D17" s="120" t="s">
        <v>759</v>
      </c>
      <c r="E17" s="120" t="s">
        <v>760</v>
      </c>
      <c r="F17" s="119" t="s">
        <v>132</v>
      </c>
      <c r="G17" s="119"/>
      <c r="H17" s="119"/>
      <c r="I17" s="119" t="s">
        <v>132</v>
      </c>
      <c r="J17" s="119"/>
      <c r="K17" s="119"/>
      <c r="L17" s="119" t="s">
        <v>132</v>
      </c>
      <c r="M17" s="119"/>
      <c r="N17" s="119"/>
      <c r="O17" s="119"/>
    </row>
    <row r="18" customFormat="false" ht="45" hidden="false" customHeight="true" outlineLevel="0" collapsed="false">
      <c r="A18" s="119" t="s">
        <v>761</v>
      </c>
      <c r="B18" s="48" t="s">
        <v>762</v>
      </c>
      <c r="C18" s="48" t="s">
        <v>763</v>
      </c>
      <c r="D18" s="120" t="s">
        <v>764</v>
      </c>
      <c r="E18" s="120" t="s">
        <v>760</v>
      </c>
      <c r="F18" s="119" t="s">
        <v>132</v>
      </c>
      <c r="G18" s="119"/>
      <c r="H18" s="119"/>
      <c r="I18" s="119" t="s">
        <v>132</v>
      </c>
      <c r="J18" s="119"/>
      <c r="K18" s="119"/>
      <c r="L18" s="119" t="s">
        <v>132</v>
      </c>
      <c r="M18" s="119"/>
      <c r="N18" s="119"/>
      <c r="O18" s="119"/>
      <c r="Q18" s="118"/>
    </row>
    <row r="19" customFormat="false" ht="45" hidden="false" customHeight="true" outlineLevel="0" collapsed="false">
      <c r="A19" s="119" t="s">
        <v>765</v>
      </c>
      <c r="B19" s="48" t="s">
        <v>766</v>
      </c>
      <c r="C19" s="48" t="s">
        <v>767</v>
      </c>
      <c r="D19" s="120" t="s">
        <v>768</v>
      </c>
      <c r="E19" s="120" t="s">
        <v>760</v>
      </c>
      <c r="F19" s="119" t="s">
        <v>132</v>
      </c>
      <c r="G19" s="119"/>
      <c r="H19" s="119"/>
      <c r="I19" s="119" t="s">
        <v>132</v>
      </c>
      <c r="J19" s="119"/>
      <c r="K19" s="119"/>
      <c r="L19" s="119" t="s">
        <v>132</v>
      </c>
      <c r="M19" s="119"/>
      <c r="N19" s="119"/>
      <c r="O19" s="119"/>
      <c r="Q19" s="121"/>
    </row>
    <row r="20" customFormat="false" ht="58.5" hidden="false" customHeight="true" outlineLevel="0" collapsed="false">
      <c r="A20" s="119" t="s">
        <v>769</v>
      </c>
      <c r="B20" s="48" t="s">
        <v>770</v>
      </c>
      <c r="C20" s="48" t="s">
        <v>771</v>
      </c>
      <c r="D20" s="120" t="s">
        <v>772</v>
      </c>
      <c r="E20" s="120" t="s">
        <v>760</v>
      </c>
      <c r="F20" s="119" t="s">
        <v>132</v>
      </c>
      <c r="G20" s="119"/>
      <c r="H20" s="119"/>
      <c r="I20" s="119" t="s">
        <v>132</v>
      </c>
      <c r="J20" s="119"/>
      <c r="K20" s="119"/>
      <c r="L20" s="119" t="s">
        <v>132</v>
      </c>
      <c r="M20" s="119"/>
      <c r="N20" s="119"/>
      <c r="O20" s="119"/>
    </row>
    <row r="21" customFormat="false" ht="58.5" hidden="false" customHeight="true" outlineLevel="0" collapsed="false">
      <c r="A21" s="119" t="s">
        <v>773</v>
      </c>
      <c r="B21" s="48" t="s">
        <v>774</v>
      </c>
      <c r="C21" s="48" t="s">
        <v>775</v>
      </c>
      <c r="D21" s="120" t="s">
        <v>776</v>
      </c>
      <c r="E21" s="120" t="s">
        <v>760</v>
      </c>
      <c r="F21" s="119" t="s">
        <v>132</v>
      </c>
      <c r="G21" s="119"/>
      <c r="H21" s="119"/>
      <c r="I21" s="119" t="s">
        <v>132</v>
      </c>
      <c r="J21" s="119"/>
      <c r="K21" s="119"/>
      <c r="L21" s="119" t="s">
        <v>132</v>
      </c>
      <c r="M21" s="119"/>
      <c r="N21" s="119"/>
      <c r="O21" s="119"/>
    </row>
    <row r="22" customFormat="false" ht="58.5" hidden="false" customHeight="true" outlineLevel="0" collapsed="false">
      <c r="A22" s="119" t="s">
        <v>777</v>
      </c>
      <c r="B22" s="48" t="s">
        <v>778</v>
      </c>
      <c r="C22" s="48" t="s">
        <v>779</v>
      </c>
      <c r="D22" s="120" t="s">
        <v>780</v>
      </c>
      <c r="E22" s="120" t="s">
        <v>781</v>
      </c>
      <c r="F22" s="119" t="s">
        <v>132</v>
      </c>
      <c r="G22" s="119"/>
      <c r="H22" s="119"/>
      <c r="I22" s="119" t="s">
        <v>132</v>
      </c>
      <c r="J22" s="119"/>
      <c r="K22" s="119"/>
      <c r="L22" s="119" t="s">
        <v>132</v>
      </c>
      <c r="M22" s="119"/>
      <c r="N22" s="119"/>
      <c r="O22" s="119"/>
    </row>
    <row r="23" customFormat="false" ht="58.5" hidden="false" customHeight="true" outlineLevel="0" collapsed="false">
      <c r="A23" s="119" t="s">
        <v>782</v>
      </c>
      <c r="B23" s="48" t="s">
        <v>783</v>
      </c>
      <c r="C23" s="48" t="s">
        <v>784</v>
      </c>
      <c r="D23" s="120" t="s">
        <v>785</v>
      </c>
      <c r="E23" s="120" t="s">
        <v>760</v>
      </c>
      <c r="F23" s="119" t="s">
        <v>132</v>
      </c>
      <c r="G23" s="119"/>
      <c r="H23" s="119"/>
      <c r="I23" s="119" t="s">
        <v>132</v>
      </c>
      <c r="J23" s="119"/>
      <c r="K23" s="119"/>
      <c r="L23" s="119" t="s">
        <v>132</v>
      </c>
      <c r="M23" s="119"/>
      <c r="N23" s="119"/>
      <c r="O23" s="119"/>
    </row>
    <row r="24" customFormat="false" ht="15.75" hidden="false" customHeight="true" outlineLevel="0" collapsed="false">
      <c r="A24" s="115" t="s">
        <v>115</v>
      </c>
      <c r="B24" s="115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7"/>
    </row>
    <row r="25" customFormat="false" ht="45" hidden="false" customHeight="true" outlineLevel="0" collapsed="false">
      <c r="A25" s="119" t="s">
        <v>786</v>
      </c>
      <c r="B25" s="48" t="s">
        <v>787</v>
      </c>
      <c r="C25" s="48" t="s">
        <v>788</v>
      </c>
      <c r="D25" s="120" t="s">
        <v>789</v>
      </c>
      <c r="E25" s="120" t="s">
        <v>790</v>
      </c>
      <c r="F25" s="119" t="s">
        <v>132</v>
      </c>
      <c r="G25" s="119"/>
      <c r="H25" s="119"/>
      <c r="I25" s="119" t="s">
        <v>132</v>
      </c>
      <c r="J25" s="119"/>
      <c r="K25" s="119"/>
      <c r="L25" s="119" t="s">
        <v>132</v>
      </c>
      <c r="M25" s="119"/>
      <c r="N25" s="119"/>
      <c r="O25" s="119"/>
    </row>
    <row r="26" customFormat="false" ht="45" hidden="false" customHeight="true" outlineLevel="0" collapsed="false">
      <c r="A26" s="119" t="s">
        <v>791</v>
      </c>
      <c r="B26" s="48" t="s">
        <v>792</v>
      </c>
      <c r="C26" s="48" t="s">
        <v>793</v>
      </c>
      <c r="D26" s="120" t="s">
        <v>794</v>
      </c>
      <c r="E26" s="120" t="s">
        <v>605</v>
      </c>
      <c r="F26" s="119" t="s">
        <v>132</v>
      </c>
      <c r="G26" s="119"/>
      <c r="H26" s="119"/>
      <c r="I26" s="119" t="s">
        <v>132</v>
      </c>
      <c r="J26" s="119"/>
      <c r="K26" s="119"/>
      <c r="L26" s="119" t="s">
        <v>132</v>
      </c>
      <c r="M26" s="119"/>
      <c r="N26" s="119"/>
      <c r="O26" s="119"/>
    </row>
  </sheetData>
  <mergeCells count="3">
    <mergeCell ref="B2:E2"/>
    <mergeCell ref="B3:E3"/>
    <mergeCell ref="B4:E4"/>
  </mergeCells>
  <dataValidations count="1">
    <dataValidation allowBlank="true" errorStyle="stop" operator="between" showDropDown="false" showErrorMessage="false" showInputMessage="false" sqref="F11:F76 I11:I76 L11:L76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2.75" zeroHeight="false" outlineLevelRow="0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2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98" customFormat="true" ht="15" hidden="false" customHeight="true" outlineLevel="0" collapsed="false">
      <c r="A2" s="93" t="s">
        <v>139</v>
      </c>
      <c r="B2" s="94" t="s">
        <v>795</v>
      </c>
      <c r="C2" s="94"/>
      <c r="D2" s="94"/>
      <c r="E2" s="94"/>
      <c r="F2" s="95"/>
      <c r="G2" s="96"/>
      <c r="H2" s="46"/>
      <c r="I2" s="95"/>
      <c r="J2" s="96"/>
      <c r="K2" s="46"/>
      <c r="L2" s="95"/>
      <c r="M2" s="96"/>
      <c r="N2" s="46"/>
      <c r="O2" s="46"/>
      <c r="P2" s="46"/>
      <c r="Q2" s="97"/>
      <c r="R2" s="98" t="s">
        <v>130</v>
      </c>
    </row>
    <row r="3" s="98" customFormat="true" ht="36" hidden="false" customHeight="true" outlineLevel="0" collapsed="false">
      <c r="A3" s="99" t="s">
        <v>141</v>
      </c>
      <c r="B3" s="100" t="s">
        <v>796</v>
      </c>
      <c r="C3" s="100"/>
      <c r="D3" s="100"/>
      <c r="E3" s="100"/>
      <c r="F3" s="95"/>
      <c r="G3" s="96"/>
      <c r="H3" s="46"/>
      <c r="I3" s="95"/>
      <c r="J3" s="96"/>
      <c r="K3" s="46"/>
      <c r="L3" s="95"/>
      <c r="M3" s="96"/>
      <c r="N3" s="46"/>
      <c r="O3" s="46"/>
      <c r="P3" s="46"/>
      <c r="Q3" s="97"/>
      <c r="R3" s="98" t="s">
        <v>131</v>
      </c>
    </row>
    <row r="4" s="98" customFormat="true" ht="18" hidden="false" customHeight="true" outlineLevel="0" collapsed="false">
      <c r="A4" s="99" t="s">
        <v>143</v>
      </c>
      <c r="B4" s="100" t="n">
        <f aca="false">COUNTA(B11:B1000)</f>
        <v>3</v>
      </c>
      <c r="C4" s="100"/>
      <c r="D4" s="100"/>
      <c r="E4" s="100"/>
      <c r="F4" s="95"/>
      <c r="G4" s="96"/>
      <c r="H4" s="46"/>
      <c r="I4" s="95"/>
      <c r="J4" s="96"/>
      <c r="K4" s="46"/>
      <c r="L4" s="95"/>
      <c r="M4" s="96"/>
      <c r="N4" s="46"/>
      <c r="O4" s="46"/>
      <c r="P4" s="46"/>
      <c r="Q4" s="97"/>
      <c r="R4" s="98" t="s">
        <v>132</v>
      </c>
    </row>
    <row r="5" s="98" customFormat="true" ht="19.5" hidden="false" customHeight="true" outlineLevel="0" collapsed="false">
      <c r="A5" s="101" t="s">
        <v>144</v>
      </c>
      <c r="B5" s="102" t="s">
        <v>130</v>
      </c>
      <c r="C5" s="102" t="s">
        <v>131</v>
      </c>
      <c r="D5" s="102" t="s">
        <v>132</v>
      </c>
      <c r="E5" s="103" t="s">
        <v>133</v>
      </c>
      <c r="F5" s="104"/>
      <c r="G5" s="104"/>
      <c r="H5" s="105"/>
      <c r="I5" s="104"/>
      <c r="J5" s="104"/>
      <c r="K5" s="105"/>
      <c r="L5" s="104"/>
      <c r="M5" s="104"/>
      <c r="N5" s="105"/>
      <c r="O5" s="105"/>
      <c r="P5" s="105"/>
      <c r="Q5" s="106"/>
      <c r="R5" s="98" t="s">
        <v>133</v>
      </c>
    </row>
    <row r="6" s="98" customFormat="true" ht="15" hidden="false" customHeight="true" outlineLevel="0" collapsed="false">
      <c r="A6" s="101" t="s">
        <v>145</v>
      </c>
      <c r="B6" s="107" t="n">
        <f aca="false">COUNTIF($F$11:$F$1000,B$5)</f>
        <v>0</v>
      </c>
      <c r="C6" s="107" t="n">
        <f aca="false">COUNTIF($F$11:$F$1000,C$5)</f>
        <v>0</v>
      </c>
      <c r="D6" s="107" t="n">
        <f aca="false">COUNTIF($F$11:$F$1000,D$5)</f>
        <v>3</v>
      </c>
      <c r="E6" s="108" t="n">
        <f aca="false">COUNTIF($F$11:$F$1000,E$5)</f>
        <v>0</v>
      </c>
      <c r="F6" s="109"/>
      <c r="G6" s="109"/>
      <c r="H6" s="105"/>
      <c r="I6" s="109"/>
      <c r="J6" s="109"/>
      <c r="K6" s="105"/>
      <c r="L6" s="109"/>
      <c r="M6" s="109"/>
      <c r="N6" s="105"/>
      <c r="O6" s="105"/>
      <c r="P6" s="105"/>
      <c r="Q6" s="106"/>
    </row>
    <row r="7" s="98" customFormat="true" ht="15" hidden="false" customHeight="true" outlineLevel="0" collapsed="false">
      <c r="A7" s="101" t="s">
        <v>146</v>
      </c>
      <c r="B7" s="107" t="n">
        <f aca="false">COUNTIF($I$11:$I$1000,B$5)</f>
        <v>0</v>
      </c>
      <c r="C7" s="107" t="n">
        <f aca="false">COUNTIF($I$11:$I$1000,C$5)</f>
        <v>0</v>
      </c>
      <c r="D7" s="107" t="n">
        <f aca="false">COUNTIF($I$11:$I$1000,D$5)</f>
        <v>3</v>
      </c>
      <c r="E7" s="108" t="n">
        <f aca="false">COUNTIF($I$11:$I$1000,E$5)</f>
        <v>0</v>
      </c>
      <c r="F7" s="109"/>
      <c r="G7" s="109"/>
      <c r="H7" s="105"/>
      <c r="I7" s="109"/>
      <c r="J7" s="109"/>
      <c r="K7" s="105"/>
      <c r="L7" s="109"/>
      <c r="M7" s="109"/>
      <c r="N7" s="105"/>
      <c r="O7" s="105"/>
      <c r="P7" s="105"/>
      <c r="Q7" s="106"/>
    </row>
    <row r="8" s="98" customFormat="true" ht="15" hidden="false" customHeight="true" outlineLevel="0" collapsed="false">
      <c r="A8" s="110" t="s">
        <v>147</v>
      </c>
      <c r="B8" s="111" t="n">
        <f aca="false">COUNTIF($L$11:$L$1000,B$5)</f>
        <v>0</v>
      </c>
      <c r="C8" s="111" t="n">
        <f aca="false">COUNTIF($L$11:$L$1000,C$5)</f>
        <v>0</v>
      </c>
      <c r="D8" s="111" t="n">
        <f aca="false">COUNTIF($L$11:$L$1000,D$5)</f>
        <v>3</v>
      </c>
      <c r="E8" s="112" t="n">
        <f aca="false">COUNTIF($L$11:$L$1000,E$5)</f>
        <v>0</v>
      </c>
      <c r="F8" s="109"/>
      <c r="G8" s="109"/>
      <c r="H8" s="105"/>
      <c r="I8" s="109"/>
      <c r="J8" s="109"/>
      <c r="K8" s="105"/>
      <c r="L8" s="109"/>
      <c r="M8" s="109"/>
      <c r="N8" s="105"/>
      <c r="O8" s="105"/>
      <c r="P8" s="105"/>
      <c r="Q8" s="106"/>
    </row>
    <row r="9" s="98" customFormat="true" ht="15" hidden="false" customHeight="true" outlineLevel="0" collapsed="false">
      <c r="A9" s="105"/>
      <c r="B9" s="105"/>
      <c r="C9" s="105"/>
      <c r="D9" s="105"/>
      <c r="E9" s="105"/>
      <c r="F9" s="91"/>
      <c r="G9" s="105"/>
      <c r="H9" s="105"/>
      <c r="I9" s="91"/>
      <c r="J9" s="105"/>
      <c r="K9" s="105"/>
      <c r="L9" s="91"/>
      <c r="M9" s="105"/>
      <c r="N9" s="105"/>
      <c r="O9" s="105"/>
      <c r="P9" s="105"/>
      <c r="Q9" s="106"/>
    </row>
    <row r="10" s="98" customFormat="true" ht="25.5" hidden="false" customHeight="true" outlineLevel="0" collapsed="false">
      <c r="A10" s="113" t="s">
        <v>148</v>
      </c>
      <c r="B10" s="113" t="s">
        <v>149</v>
      </c>
      <c r="C10" s="113" t="s">
        <v>150</v>
      </c>
      <c r="D10" s="113" t="s">
        <v>151</v>
      </c>
      <c r="E10" s="113" t="s">
        <v>152</v>
      </c>
      <c r="F10" s="113" t="s">
        <v>145</v>
      </c>
      <c r="G10" s="113" t="s">
        <v>153</v>
      </c>
      <c r="H10" s="113" t="s">
        <v>154</v>
      </c>
      <c r="I10" s="113" t="s">
        <v>146</v>
      </c>
      <c r="J10" s="113" t="s">
        <v>153</v>
      </c>
      <c r="K10" s="113" t="s">
        <v>154</v>
      </c>
      <c r="L10" s="113" t="s">
        <v>147</v>
      </c>
      <c r="M10" s="113" t="s">
        <v>153</v>
      </c>
      <c r="N10" s="113" t="s">
        <v>154</v>
      </c>
      <c r="O10" s="113" t="s">
        <v>155</v>
      </c>
      <c r="Q10" s="114"/>
    </row>
    <row r="11" customFormat="false" ht="15.75" hidden="false" customHeight="true" outlineLevel="0" collapsed="false">
      <c r="A11" s="115" t="s">
        <v>117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</row>
    <row r="12" customFormat="false" ht="45" hidden="false" customHeight="true" outlineLevel="0" collapsed="false">
      <c r="A12" s="119" t="s">
        <v>797</v>
      </c>
      <c r="B12" s="48" t="s">
        <v>798</v>
      </c>
      <c r="C12" s="48" t="s">
        <v>799</v>
      </c>
      <c r="D12" s="120" t="s">
        <v>800</v>
      </c>
      <c r="E12" s="120" t="s">
        <v>741</v>
      </c>
      <c r="F12" s="119" t="s">
        <v>132</v>
      </c>
      <c r="G12" s="119"/>
      <c r="H12" s="119"/>
      <c r="I12" s="119" t="s">
        <v>132</v>
      </c>
      <c r="J12" s="119"/>
      <c r="K12" s="119"/>
      <c r="L12" s="119" t="s">
        <v>132</v>
      </c>
      <c r="M12" s="119"/>
      <c r="N12" s="119"/>
      <c r="O12" s="119"/>
    </row>
    <row r="13" customFormat="false" ht="58.5" hidden="false" customHeight="true" outlineLevel="0" collapsed="false">
      <c r="A13" s="119" t="s">
        <v>801</v>
      </c>
      <c r="B13" s="48" t="s">
        <v>802</v>
      </c>
      <c r="C13" s="48" t="s">
        <v>803</v>
      </c>
      <c r="D13" s="120" t="s">
        <v>804</v>
      </c>
      <c r="E13" s="120" t="s">
        <v>49</v>
      </c>
      <c r="F13" s="119" t="s">
        <v>132</v>
      </c>
      <c r="G13" s="119"/>
      <c r="H13" s="119"/>
      <c r="I13" s="119" t="s">
        <v>132</v>
      </c>
      <c r="J13" s="119"/>
      <c r="K13" s="119"/>
      <c r="L13" s="119" t="s">
        <v>132</v>
      </c>
      <c r="M13" s="119"/>
      <c r="N13" s="119"/>
      <c r="O13" s="119"/>
    </row>
    <row r="14" customFormat="false" ht="58.5" hidden="false" customHeight="true" outlineLevel="0" collapsed="false">
      <c r="A14" s="119" t="s">
        <v>805</v>
      </c>
      <c r="B14" s="48" t="s">
        <v>806</v>
      </c>
      <c r="C14" s="48" t="s">
        <v>807</v>
      </c>
      <c r="D14" s="120" t="s">
        <v>808</v>
      </c>
      <c r="E14" s="120" t="s">
        <v>809</v>
      </c>
      <c r="F14" s="119" t="s">
        <v>132</v>
      </c>
      <c r="G14" s="119"/>
      <c r="H14" s="119"/>
      <c r="I14" s="119" t="s">
        <v>132</v>
      </c>
      <c r="J14" s="119"/>
      <c r="K14" s="119"/>
      <c r="L14" s="119" t="s">
        <v>132</v>
      </c>
      <c r="M14" s="119"/>
      <c r="N14" s="119"/>
      <c r="O14" s="119"/>
    </row>
  </sheetData>
  <mergeCells count="3">
    <mergeCell ref="B2:E2"/>
    <mergeCell ref="B3:E3"/>
    <mergeCell ref="B4:E4"/>
  </mergeCells>
  <dataValidations count="1">
    <dataValidation allowBlank="true" errorStyle="stop" operator="between" showDropDown="false" showErrorMessage="false" showInputMessage="false" sqref="F11:F64 I11:I64 L11:L64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2.75" zeroHeight="false" outlineLevelRow="0" outlineLevelCol="1"/>
  <cols>
    <col collapsed="false" customWidth="true" hidden="false" outlineLevel="0" max="1" min="1" style="8" width="17"/>
    <col collapsed="false" customWidth="true" hidden="false" outlineLevel="0" max="2" min="2" style="8" width="34.44"/>
    <col collapsed="false" customWidth="true" hidden="false" outlineLevel="0" max="3" min="3" style="8" width="34.11"/>
    <col collapsed="false" customWidth="true" hidden="false" outlineLevel="0" max="4" min="4" style="8" width="34.66"/>
    <col collapsed="false" customWidth="true" hidden="false" outlineLevel="0" max="5" min="5" style="8" width="28.33"/>
    <col collapsed="false" customWidth="true" hidden="false" outlineLevel="0" max="6" min="6" style="8" width="9.33"/>
    <col collapsed="false" customWidth="true" hidden="false" outlineLevel="1" max="7" min="7" style="8" width="10.66"/>
    <col collapsed="false" customWidth="true" hidden="false" outlineLevel="1" max="8" min="8" style="8" width="7"/>
    <col collapsed="false" customWidth="true" hidden="false" outlineLevel="0" max="9" min="9" style="8" width="9.33"/>
    <col collapsed="false" customWidth="true" hidden="false" outlineLevel="1" max="10" min="10" style="8" width="10.66"/>
    <col collapsed="false" customWidth="true" hidden="false" outlineLevel="1" max="11" min="11" style="8" width="7"/>
    <col collapsed="false" customWidth="true" hidden="false" outlineLevel="0" max="12" min="12" style="8" width="9.33"/>
    <col collapsed="false" customWidth="true" hidden="false" outlineLevel="1" max="13" min="13" style="8" width="10.66"/>
    <col collapsed="false" customWidth="true" hidden="false" outlineLevel="1" max="14" min="14" style="8" width="7"/>
    <col collapsed="false" customWidth="true" hidden="false" outlineLevel="0" max="15" min="15" style="8" width="28.66"/>
    <col collapsed="false" customWidth="true" hidden="false" outlineLevel="0" max="16" min="16" style="8" width="10.11"/>
    <col collapsed="false" customWidth="true" hidden="false" outlineLevel="0" max="17" min="17" style="92" width="8.11"/>
    <col collapsed="false" customWidth="true" hidden="true" outlineLevel="0" max="18" min="18" style="8" width="7.67"/>
    <col collapsed="false" customWidth="false" hidden="false" outlineLevel="0" max="16384" min="19" style="8" width="9"/>
  </cols>
  <sheetData>
    <row r="1" customFormat="false" ht="13.5" hidden="false" customHeight="true" outlineLevel="0" collapsed="false"/>
    <row r="2" s="98" customFormat="true" ht="15" hidden="false" customHeight="true" outlineLevel="0" collapsed="false">
      <c r="A2" s="93" t="s">
        <v>139</v>
      </c>
      <c r="B2" s="94" t="s">
        <v>810</v>
      </c>
      <c r="C2" s="94"/>
      <c r="D2" s="94"/>
      <c r="E2" s="94"/>
      <c r="F2" s="95"/>
      <c r="G2" s="96"/>
      <c r="H2" s="46"/>
      <c r="I2" s="95"/>
      <c r="J2" s="96"/>
      <c r="K2" s="46"/>
      <c r="L2" s="95"/>
      <c r="M2" s="96"/>
      <c r="N2" s="46"/>
      <c r="O2" s="46"/>
      <c r="P2" s="46"/>
      <c r="Q2" s="97"/>
      <c r="R2" s="98" t="s">
        <v>130</v>
      </c>
    </row>
    <row r="3" s="98" customFormat="true" ht="36" hidden="false" customHeight="true" outlineLevel="0" collapsed="false">
      <c r="A3" s="99" t="s">
        <v>141</v>
      </c>
      <c r="B3" s="100" t="s">
        <v>811</v>
      </c>
      <c r="C3" s="100"/>
      <c r="D3" s="100"/>
      <c r="E3" s="100"/>
      <c r="F3" s="95"/>
      <c r="G3" s="96"/>
      <c r="H3" s="46"/>
      <c r="I3" s="95"/>
      <c r="J3" s="96"/>
      <c r="K3" s="46"/>
      <c r="L3" s="95"/>
      <c r="M3" s="96"/>
      <c r="N3" s="46"/>
      <c r="O3" s="46"/>
      <c r="P3" s="46"/>
      <c r="Q3" s="97"/>
      <c r="R3" s="98" t="s">
        <v>131</v>
      </c>
    </row>
    <row r="4" s="98" customFormat="true" ht="18" hidden="false" customHeight="true" outlineLevel="0" collapsed="false">
      <c r="A4" s="99" t="s">
        <v>143</v>
      </c>
      <c r="B4" s="100" t="n">
        <f aca="false">COUNTA(B11:B1000)</f>
        <v>7</v>
      </c>
      <c r="C4" s="100"/>
      <c r="D4" s="100"/>
      <c r="E4" s="100"/>
      <c r="F4" s="95"/>
      <c r="G4" s="96"/>
      <c r="H4" s="46"/>
      <c r="I4" s="95"/>
      <c r="J4" s="96"/>
      <c r="K4" s="46"/>
      <c r="L4" s="95"/>
      <c r="M4" s="96"/>
      <c r="N4" s="46"/>
      <c r="O4" s="46"/>
      <c r="P4" s="46"/>
      <c r="Q4" s="97"/>
      <c r="R4" s="98" t="s">
        <v>132</v>
      </c>
    </row>
    <row r="5" s="98" customFormat="true" ht="19.5" hidden="false" customHeight="true" outlineLevel="0" collapsed="false">
      <c r="A5" s="101" t="s">
        <v>144</v>
      </c>
      <c r="B5" s="102" t="s">
        <v>130</v>
      </c>
      <c r="C5" s="102" t="s">
        <v>131</v>
      </c>
      <c r="D5" s="102" t="s">
        <v>132</v>
      </c>
      <c r="E5" s="103" t="s">
        <v>133</v>
      </c>
      <c r="F5" s="104"/>
      <c r="G5" s="104"/>
      <c r="H5" s="105"/>
      <c r="I5" s="104"/>
      <c r="J5" s="104"/>
      <c r="K5" s="105"/>
      <c r="L5" s="104"/>
      <c r="M5" s="104"/>
      <c r="N5" s="105"/>
      <c r="O5" s="105"/>
      <c r="P5" s="105"/>
      <c r="Q5" s="106"/>
      <c r="R5" s="98" t="s">
        <v>133</v>
      </c>
    </row>
    <row r="6" s="98" customFormat="true" ht="15" hidden="false" customHeight="true" outlineLevel="0" collapsed="false">
      <c r="A6" s="101" t="s">
        <v>145</v>
      </c>
      <c r="B6" s="107" t="n">
        <f aca="false">COUNTIF($F$11:$F$1000,B$5)</f>
        <v>0</v>
      </c>
      <c r="C6" s="107" t="n">
        <f aca="false">COUNTIF($F$11:$F$1000,C$5)</f>
        <v>0</v>
      </c>
      <c r="D6" s="107" t="n">
        <f aca="false">COUNTIF($F$11:$F$1000,D$5)</f>
        <v>7</v>
      </c>
      <c r="E6" s="108" t="n">
        <f aca="false">COUNTIF($F$11:$F$1000,E$5)</f>
        <v>0</v>
      </c>
      <c r="F6" s="109"/>
      <c r="G6" s="109"/>
      <c r="H6" s="105"/>
      <c r="I6" s="109"/>
      <c r="J6" s="109"/>
      <c r="K6" s="105"/>
      <c r="L6" s="109"/>
      <c r="M6" s="109"/>
      <c r="N6" s="105"/>
      <c r="O6" s="105"/>
      <c r="P6" s="105"/>
      <c r="Q6" s="106"/>
    </row>
    <row r="7" s="98" customFormat="true" ht="15" hidden="false" customHeight="true" outlineLevel="0" collapsed="false">
      <c r="A7" s="101" t="s">
        <v>146</v>
      </c>
      <c r="B7" s="107" t="n">
        <f aca="false">COUNTIF($I$11:$I$1000,B$5)</f>
        <v>0</v>
      </c>
      <c r="C7" s="107" t="n">
        <f aca="false">COUNTIF($I$11:$I$1000,C$5)</f>
        <v>0</v>
      </c>
      <c r="D7" s="107" t="n">
        <f aca="false">COUNTIF($I$11:$I$1000,D$5)</f>
        <v>7</v>
      </c>
      <c r="E7" s="108" t="n">
        <f aca="false">COUNTIF($I$11:$I$1000,E$5)</f>
        <v>0</v>
      </c>
      <c r="F7" s="109"/>
      <c r="G7" s="109"/>
      <c r="H7" s="105"/>
      <c r="I7" s="109"/>
      <c r="J7" s="109"/>
      <c r="K7" s="105"/>
      <c r="L7" s="109"/>
      <c r="M7" s="109"/>
      <c r="N7" s="105"/>
      <c r="O7" s="105"/>
      <c r="P7" s="105"/>
      <c r="Q7" s="106"/>
    </row>
    <row r="8" s="98" customFormat="true" ht="15" hidden="false" customHeight="true" outlineLevel="0" collapsed="false">
      <c r="A8" s="110" t="s">
        <v>147</v>
      </c>
      <c r="B8" s="111" t="n">
        <f aca="false">COUNTIF($L$11:$L$1000,B$5)</f>
        <v>0</v>
      </c>
      <c r="C8" s="111" t="n">
        <f aca="false">COUNTIF($L$11:$L$1000,C$5)</f>
        <v>0</v>
      </c>
      <c r="D8" s="111" t="n">
        <f aca="false">COUNTIF($L$11:$L$1000,D$5)</f>
        <v>7</v>
      </c>
      <c r="E8" s="112" t="n">
        <f aca="false">COUNTIF($L$11:$L$1000,E$5)</f>
        <v>0</v>
      </c>
      <c r="F8" s="109"/>
      <c r="G8" s="109"/>
      <c r="H8" s="105"/>
      <c r="I8" s="109"/>
      <c r="J8" s="109"/>
      <c r="K8" s="105"/>
      <c r="L8" s="109"/>
      <c r="M8" s="109"/>
      <c r="N8" s="105"/>
      <c r="O8" s="105"/>
      <c r="P8" s="105"/>
      <c r="Q8" s="106"/>
    </row>
    <row r="9" s="98" customFormat="true" ht="15" hidden="false" customHeight="true" outlineLevel="0" collapsed="false">
      <c r="A9" s="105"/>
      <c r="B9" s="105"/>
      <c r="C9" s="105"/>
      <c r="D9" s="105"/>
      <c r="E9" s="105"/>
      <c r="F9" s="91"/>
      <c r="G9" s="105"/>
      <c r="H9" s="105"/>
      <c r="I9" s="91"/>
      <c r="J9" s="105"/>
      <c r="K9" s="105"/>
      <c r="L9" s="91"/>
      <c r="M9" s="105"/>
      <c r="N9" s="105"/>
      <c r="O9" s="105"/>
      <c r="P9" s="105"/>
      <c r="Q9" s="106"/>
    </row>
    <row r="10" s="98" customFormat="true" ht="25.5" hidden="false" customHeight="true" outlineLevel="0" collapsed="false">
      <c r="A10" s="113" t="s">
        <v>148</v>
      </c>
      <c r="B10" s="113" t="s">
        <v>149</v>
      </c>
      <c r="C10" s="113" t="s">
        <v>150</v>
      </c>
      <c r="D10" s="113" t="s">
        <v>151</v>
      </c>
      <c r="E10" s="113" t="s">
        <v>152</v>
      </c>
      <c r="F10" s="113" t="s">
        <v>145</v>
      </c>
      <c r="G10" s="113" t="s">
        <v>153</v>
      </c>
      <c r="H10" s="113" t="s">
        <v>154</v>
      </c>
      <c r="I10" s="113" t="s">
        <v>146</v>
      </c>
      <c r="J10" s="113" t="s">
        <v>153</v>
      </c>
      <c r="K10" s="113" t="s">
        <v>154</v>
      </c>
      <c r="L10" s="113" t="s">
        <v>147</v>
      </c>
      <c r="M10" s="113" t="s">
        <v>153</v>
      </c>
      <c r="N10" s="113" t="s">
        <v>154</v>
      </c>
      <c r="O10" s="113" t="s">
        <v>155</v>
      </c>
      <c r="Q10" s="114"/>
    </row>
    <row r="11" customFormat="false" ht="15.75" hidden="false" customHeight="true" outlineLevel="0" collapsed="false">
      <c r="A11" s="115" t="s">
        <v>120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</row>
    <row r="12" customFormat="false" ht="45" hidden="false" customHeight="true" outlineLevel="0" collapsed="false">
      <c r="A12" s="119" t="s">
        <v>812</v>
      </c>
      <c r="B12" s="48" t="s">
        <v>813</v>
      </c>
      <c r="C12" s="48" t="s">
        <v>814</v>
      </c>
      <c r="D12" s="120" t="s">
        <v>815</v>
      </c>
      <c r="E12" s="120" t="s">
        <v>816</v>
      </c>
      <c r="F12" s="119" t="s">
        <v>132</v>
      </c>
      <c r="G12" s="119"/>
      <c r="H12" s="119"/>
      <c r="I12" s="119" t="s">
        <v>132</v>
      </c>
      <c r="J12" s="119"/>
      <c r="K12" s="119"/>
      <c r="L12" s="119" t="s">
        <v>132</v>
      </c>
      <c r="M12" s="119"/>
      <c r="N12" s="119"/>
      <c r="O12" s="119"/>
      <c r="Q12" s="118"/>
    </row>
    <row r="13" customFormat="false" ht="32.25" hidden="false" customHeight="true" outlineLevel="0" collapsed="false">
      <c r="A13" s="119" t="s">
        <v>817</v>
      </c>
      <c r="B13" s="48" t="s">
        <v>818</v>
      </c>
      <c r="C13" s="48" t="s">
        <v>819</v>
      </c>
      <c r="D13" s="120" t="s">
        <v>820</v>
      </c>
      <c r="E13" s="120" t="s">
        <v>52</v>
      </c>
      <c r="F13" s="119" t="s">
        <v>132</v>
      </c>
      <c r="G13" s="119"/>
      <c r="H13" s="119"/>
      <c r="I13" s="119" t="s">
        <v>132</v>
      </c>
      <c r="J13" s="119"/>
      <c r="K13" s="119"/>
      <c r="L13" s="119" t="s">
        <v>132</v>
      </c>
      <c r="M13" s="119"/>
      <c r="N13" s="119"/>
      <c r="O13" s="119"/>
      <c r="Q13" s="121"/>
    </row>
    <row r="14" customFormat="false" ht="32.25" hidden="false" customHeight="true" outlineLevel="0" collapsed="false">
      <c r="A14" s="119" t="s">
        <v>821</v>
      </c>
      <c r="B14" s="48" t="s">
        <v>822</v>
      </c>
      <c r="C14" s="48" t="s">
        <v>823</v>
      </c>
      <c r="D14" s="120" t="s">
        <v>824</v>
      </c>
      <c r="E14" s="120" t="s">
        <v>825</v>
      </c>
      <c r="F14" s="119" t="s">
        <v>132</v>
      </c>
      <c r="G14" s="119"/>
      <c r="H14" s="119"/>
      <c r="I14" s="119" t="s">
        <v>132</v>
      </c>
      <c r="J14" s="119"/>
      <c r="K14" s="119"/>
      <c r="L14" s="119" t="s">
        <v>132</v>
      </c>
      <c r="M14" s="119"/>
      <c r="N14" s="119"/>
      <c r="O14" s="119"/>
    </row>
    <row r="15" customFormat="false" ht="15.75" hidden="false" customHeight="true" outlineLevel="0" collapsed="false">
      <c r="A15" s="115" t="s">
        <v>123</v>
      </c>
      <c r="B15" s="115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7"/>
    </row>
    <row r="16" customFormat="false" ht="58.5" hidden="false" customHeight="true" outlineLevel="0" collapsed="false">
      <c r="A16" s="119" t="s">
        <v>826</v>
      </c>
      <c r="B16" s="48" t="s">
        <v>827</v>
      </c>
      <c r="C16" s="48" t="s">
        <v>828</v>
      </c>
      <c r="D16" s="120" t="s">
        <v>829</v>
      </c>
      <c r="E16" s="120" t="s">
        <v>830</v>
      </c>
      <c r="F16" s="119" t="s">
        <v>132</v>
      </c>
      <c r="G16" s="119"/>
      <c r="H16" s="119"/>
      <c r="I16" s="119" t="s">
        <v>132</v>
      </c>
      <c r="J16" s="119"/>
      <c r="K16" s="119"/>
      <c r="L16" s="119" t="s">
        <v>132</v>
      </c>
      <c r="M16" s="119"/>
      <c r="N16" s="119"/>
      <c r="O16" s="119"/>
    </row>
    <row r="17" customFormat="false" ht="58.5" hidden="false" customHeight="true" outlineLevel="0" collapsed="false">
      <c r="A17" s="119" t="s">
        <v>831</v>
      </c>
      <c r="B17" s="48" t="s">
        <v>832</v>
      </c>
      <c r="C17" s="48" t="s">
        <v>833</v>
      </c>
      <c r="D17" s="120" t="s">
        <v>834</v>
      </c>
      <c r="E17" s="120" t="s">
        <v>835</v>
      </c>
      <c r="F17" s="119" t="s">
        <v>132</v>
      </c>
      <c r="G17" s="119"/>
      <c r="H17" s="119"/>
      <c r="I17" s="119" t="s">
        <v>132</v>
      </c>
      <c r="J17" s="119"/>
      <c r="K17" s="119"/>
      <c r="L17" s="119" t="s">
        <v>132</v>
      </c>
      <c r="M17" s="119"/>
      <c r="N17" s="119"/>
      <c r="O17" s="119"/>
    </row>
    <row r="18" customFormat="false" ht="58.5" hidden="false" customHeight="true" outlineLevel="0" collapsed="false">
      <c r="A18" s="119" t="s">
        <v>836</v>
      </c>
      <c r="B18" s="48" t="s">
        <v>837</v>
      </c>
      <c r="C18" s="48" t="s">
        <v>838</v>
      </c>
      <c r="D18" s="120" t="s">
        <v>839</v>
      </c>
      <c r="E18" s="120" t="s">
        <v>52</v>
      </c>
      <c r="F18" s="119" t="s">
        <v>132</v>
      </c>
      <c r="G18" s="119"/>
      <c r="H18" s="119"/>
      <c r="I18" s="119" t="s">
        <v>132</v>
      </c>
      <c r="J18" s="119"/>
      <c r="K18" s="119"/>
      <c r="L18" s="119" t="s">
        <v>132</v>
      </c>
      <c r="M18" s="119"/>
      <c r="N18" s="119"/>
      <c r="O18" s="119"/>
    </row>
    <row r="19" customFormat="false" ht="32.25" hidden="false" customHeight="true" outlineLevel="0" collapsed="false">
      <c r="A19" s="119" t="s">
        <v>840</v>
      </c>
      <c r="B19" s="48" t="s">
        <v>841</v>
      </c>
      <c r="C19" s="48" t="s">
        <v>842</v>
      </c>
      <c r="D19" s="120" t="s">
        <v>843</v>
      </c>
      <c r="E19" s="120" t="s">
        <v>52</v>
      </c>
      <c r="F19" s="119" t="s">
        <v>132</v>
      </c>
      <c r="G19" s="119"/>
      <c r="H19" s="119"/>
      <c r="I19" s="119" t="s">
        <v>132</v>
      </c>
      <c r="J19" s="119"/>
      <c r="K19" s="119"/>
      <c r="L19" s="119" t="s">
        <v>132</v>
      </c>
      <c r="M19" s="119"/>
      <c r="N19" s="119"/>
      <c r="O19" s="119"/>
    </row>
  </sheetData>
  <mergeCells count="3">
    <mergeCell ref="B2:E2"/>
    <mergeCell ref="B3:E3"/>
    <mergeCell ref="B4:E4"/>
  </mergeCells>
  <dataValidations count="1">
    <dataValidation allowBlank="true" errorStyle="stop" operator="between" showDropDown="false" showErrorMessage="false" showInputMessage="false" sqref="F11:F69 I11:I69 L11:L69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BM</cp:category>
  <dcterms:created xsi:type="dcterms:W3CDTF">2020-03-17T17:34:29Z</dcterms:created>
  <dc:creator>Kien Nguyen</dc:creator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</dc:description>
  <dc:language>en-US</dc:language>
  <cp:lastModifiedBy>VO Duc_Hoang</cp:lastModifiedBy>
  <cp:lastPrinted>2010-11-12T10:33:20Z</cp:lastPrinted>
  <dcterms:modified xsi:type="dcterms:W3CDTF">2026-10-28T03:57:04Z</dcterms:modified>
  <cp:revision>0</cp:revision>
  <dc:subject>v1/0</dc:subject>
  <dc:title>Test case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