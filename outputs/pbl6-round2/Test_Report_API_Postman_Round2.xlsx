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worksheets/sheet9.xml" ContentType="application/vnd.openxmlformats-officedocument.spreadsheetml.worksheet+xml"/>
  <Override PartName="/xl/comments7.xml" ContentType="application/vnd.openxmlformats-officedocument.spreadsheetml.comments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87bb0ee61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ad39d528c014fe5"/>
    <x:sheet xmlns:r="http://schemas.openxmlformats.org/officeDocument/2006/relationships" name="Test Cases" sheetId="2" r:id="R0c66f25a7f3a45ff"/>
    <x:sheet xmlns:r="http://schemas.openxmlformats.org/officeDocument/2006/relationships" name="Test Statistics" sheetId="3" r:id="Rc82aa1b74d644d97"/>
    <x:sheet xmlns:r="http://schemas.openxmlformats.org/officeDocument/2006/relationships" name="Auth_Service" sheetId="4" r:id="R1d3d4a0f86e645b7"/>
    <x:sheet xmlns:r="http://schemas.openxmlformats.org/officeDocument/2006/relationships" name="Trip_Service" sheetId="5" r:id="R3edb62e4574f4ccb"/>
    <x:sheet xmlns:r="http://schemas.openxmlformats.org/officeDocument/2006/relationships" name="Booking_Service" sheetId="6" r:id="R716822149f6e4508"/>
    <x:sheet xmlns:r="http://schemas.openxmlformats.org/officeDocument/2006/relationships" name="Payment_Service" sheetId="7" r:id="R34cf01215ac143c7"/>
    <x:sheet xmlns:r="http://schemas.openxmlformats.org/officeDocument/2006/relationships" name="Notification_Service" sheetId="8" r:id="Re64f6718c1a4411f"/>
    <x:sheet xmlns:r="http://schemas.openxmlformats.org/officeDocument/2006/relationships" name="Report_Service" sheetId="9" r:id="R8c0475b5e4054dc3"/>
    <x:sheet xmlns:r="http://schemas.openxmlformats.org/officeDocument/2006/relationships" name="Round2_Evidence" sheetId="10" r:id="R10efc6eea56948e4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D10" authorId="0">
      <x:text>
        <x:r>
          <x:t>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3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4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5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6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7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<x:sst xmlns:x="http://schemas.openxmlformats.org/spreadsheetml/2006/main">
  <x:si>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PBL6</x:t>
  </x:si>
  <x:si>
    <x:t xml:space="preserve">1.0</x:t>
  </x:si>
  <x:si>
    <x:t xml:space="preserve">Toàn bộ tài liệu</x:t>
  </x:si>
  <x:si>
    <x:t xml:space="preserve">A</x:t>
  </x:si>
  <x:si>
    <x:t xml:space="preserve">TEST CASE LIST</x:t>
  </x:si>
  <x:si>
    <x:t xml:space="preserve">Project Name</x:t>
  </x:si>
  <x:si>
    <x:t xml:space="preserve">Project Code</x:t>
  </x:si>
  <x:si>
    <x:t xml:space="preserve">Test Environment Setup Description</x:t>
  </x:si>
  <x:si>
    <x:t xml:space="preserve">1. Server: Backend Microservices (Auth, Trip, Booking, Payment, Notification, Report) chạy qua API Gateway, HTTPS, JSON UTF-8
2. Database: CSDL của từng service; dữ liệu test tách theo nhà xe A/B, không dùng dữ liệu thật
3. Công cụ: Postman (Collection + Environment + Collection Runner), Newman để chạy CLI/CI
4. Tài khoản test: Customer 1/2, Operator Staff A/B, Finance Staff A, Driver (được/không được phân công), Admin
5. Cổng thanh toán sandbox/mock gửi được webhook (đúng/sai chữ ký, sai số tiền, lặp, đến trễ); Notification Provider mock (giả lập được lỗi)
6. Biến môi trường: baseUrl, accessToken, refreshToken, tripId, seatIds, holdId, bookingId, paymentId, ticketId
Lưu ý: SRS (mục 7.4) để chi tiết endpoint trong OpenAPI riêng, nên đường dẫn endpoint trong các test case là đường dẫn giả định theo nghiệp vụ; cần đối chiếu và chỉnh theo OpenAPI thực tế.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</x:si>
  <x:si>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</x:si>
  <x:si>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</x:si>
  <x:si>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</x:si>
  <x:si>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</x:si>
  <x:si>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</x:si>
  <x:si>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Đăng ký &amp; kích hoạt tài khoản</x:t>
  </x:si>
  <x:si>
    <x:t xml:space="preserve">Auth_Service</x:t>
  </x:si>
  <x:si>
    <x:t xml:space="preserve">FR-IAM-001/002; AC-AUTH-001/003/004  (7 TC)</x:t>
  </x:si>
  <x:si>
    <x:t xml:space="preserve">Chưa có tài khoản với email/SĐT test.</x:t>
  </x:si>
  <x:si>
    <x:t xml:space="preserve">Đăng nhập</x:t>
  </x:si>
  <x:si>
    <x:t xml:space="preserve">FR-IAM-003/007; AC-AUTH-005/006; NFR-SEC-005  (5 TC)</x:t>
  </x:si>
  <x:si>
    <x:t xml:space="preserve">Có tài khoản active.</x:t>
  </x:si>
  <x:si>
    <x:t xml:space="preserve">Refresh phiên &amp; đăng xuất</x:t>
  </x:si>
  <x:si>
    <x:t xml:space="preserve">FR-IAM-004; AC-AUTH-007/008; NFR-SEC-003  (3 TC)</x:t>
  </x:si>
  <x:si>
    <x:t xml:space="preserve">Đã đăng nhập, có refreshToken.</x:t>
  </x:si>
  <x:si>
    <x:t xml:space="preserve">Quên &amp; đặt lại mật khẩu</x:t>
  </x:si>
  <x:si>
    <x:t xml:space="preserve">FR-IAM-005; AC-AUTH-009  (3 TC)</x:t>
  </x:si>
  <x:si>
    <x:t xml:space="preserve">-</x:t>
  </x:si>
  <x:si>
    <x:t xml:space="preserve">Hồ sơ cá nhân</x:t>
  </x:si>
  <x:si>
    <x:t xml:space="preserve">FR-IAM-006; AC-PROFILE-001  (4 TC)</x:t>
  </x:si>
  <x:si>
    <x:t xml:space="preserve">Customer đã đăng nhập (có accessToken).</x:t>
  </x:si>
  <x:si>
    <x:t xml:space="preserve">Quản lý người dùng &amp; tổ chức</x:t>
  </x:si>
  <x:si>
    <x:t xml:space="preserve">FR-IAM-008/009; FR-ADMIN-001; AC-ADMIN-001/002  (5 TC)</x:t>
  </x:si>
  <x:si>
    <x:t xml:space="preserve">Admin đã đăng nhập.</x:t>
  </x:si>
  <x:si>
    <x:t xml:space="preserve">Hợp đồng API chung</x:t>
  </x:si>
  <x:si>
    <x:t xml:space="preserve">SRS §7.4, §7.5, BR-BOOK-006, BR-DATA-002  (5 TC)</x:t>
  </x:si>
  <x:si>
    <x:t xml:space="preserve">Có Postman Environment hợp lệ.</x:t>
  </x:si>
  <x:si>
    <x:t xml:space="preserve">Bảo mật API</x:t>
  </x:si>
  <x:si>
    <x:t xml:space="preserve">AUTHZ-001..005; NFR-SEC-004/007; AC-SEC-001/002  (6 TC)</x:t>
  </x:si>
  <x:si>
    <x:t xml:space="preserve">Tìm kiếm chuyến xe</x:t>
  </x:si>
  <x:si>
    <x:t xml:space="preserve">Trip_Service</x:t>
  </x:si>
  <x:si>
    <x:t xml:space="preserve">FR-SEARCH-001/002; AC-SEARCH-001/003  (4 TC)</x:t>
  </x:si>
  <x:si>
    <x:t xml:space="preserve">Có dữ liệu chuyến xe gồm cả chuyến còn bán và không còn bán.</x:t>
  </x:si>
  <x:si>
    <x:t xml:space="preserve">Lọc, sắp xếp &amp; phân trang</x:t>
  </x:si>
  <x:si>
    <x:t xml:space="preserve">FR-SEARCH-003/004; AC-SEARCH-002  (4 TC)</x:t>
  </x:si>
  <x:si>
    <x:t xml:space="preserve">Có nhiều chuyến phù hợp cùng tuyến.</x:t>
  </x:si>
  <x:si>
    <x:t xml:space="preserve">Chi tiết chuyến xe &amp; ghế trống</x:t>
  </x:si>
  <x:si>
    <x:t xml:space="preserve">FR-SEARCH-005/006; NFR-SEC-007  (4 TC)</x:t>
  </x:si>
  <x:si>
    <x:t xml:space="preserve">Có chuyến T1.</x:t>
  </x:si>
  <x:si>
    <x:t xml:space="preserve">Thông tin nhà xe</x:t>
  </x:si>
  <x:si>
    <x:t xml:space="preserve">FR-OPS-001/011; BR-TENANT-002; AC-AUTH-002  (3 TC)</x:t>
  </x:si>
  <x:si>
    <x:t xml:space="preserve">Operator Staff của nhà xe A đã đăng nhập.</x:t>
  </x:si>
  <x:si>
    <x:t xml:space="preserve">Xe &amp; sơ đồ ghế</x:t>
  </x:si>
  <x:si>
    <x:t xml:space="preserve">FR-OPS-002/009; AC-OPS-001/002  (3 TC)</x:t>
  </x:si>
  <x:si>
    <x:t xml:space="preserve">Tài xế</x:t>
  </x:si>
  <x:si>
    <x:t xml:space="preserve">FR-OPS-003; BR-DATA-004  (2 TC)</x:t>
  </x:si>
  <x:si>
    <x:t xml:space="preserve">Tuyến &amp; điểm dừng</x:t>
  </x:si>
  <x:si>
    <x:t xml:space="preserve">FR-OPS-004/009  (3 TC)</x:t>
  </x:si>
  <x:si>
    <x:t xml:space="preserve">Tạo &amp; công bố chuyến</x:t>
  </x:si>
  <x:si>
    <x:t xml:space="preserve">FR-OPS-005/006; BR-TRIP-001/002; AC-OPS-003/004  (6 TC)</x:t>
  </x:si>
  <x:si>
    <x:t xml:space="preserve">Operator Staff của nhà xe A đã đăng nhập. Có xe, tài xế, tuyến hợp lệ.</x:t>
  </x:si>
  <x:si>
    <x:t xml:space="preserve">Vận hành chuyến &amp; danh sách hành khách</x:t>
  </x:si>
  <x:si>
    <x:t xml:space="preserve">FR-OPS-007/010; FR-BOOK-011; BR-TRIP-003; AC-OPS-005/006  (5 TC)</x:t>
  </x:si>
  <x:si>
    <x:t xml:space="preserve">Driver được phân công chuyến T1 đã đăng nhập.</x:t>
  </x:si>
  <x:si>
    <x:t xml:space="preserve">Hủy chuyến xe</x:t>
  </x:si>
  <x:si>
    <x:t xml:space="preserve">FR-OPS-008; BR-TRIP-004/006; AC-TRIP-001/002  (3 TC)</x:t>
  </x:si>
  <x:si>
    <x:t xml:space="preserve">Operator Staff của nhà xe A đã đăng nhập. Chuyến T1 đã có vé PREPAID và PAY_LATER.</x:t>
  </x:si>
  <x:si>
    <x:t xml:space="preserve">Xem ghế &amp; giữ ghế (SeatHold)</x:t>
  </x:si>
  <x:si>
    <x:t xml:space="preserve">Booking_Service</x:t>
  </x:si>
  <x:si>
    <x:t xml:space="preserve">FR-BOOK-001..003/007; BR-SEAT; AC-SEAT-001/002  (9 TC)</x:t>
  </x:si>
  <x:si>
    <x:t xml:space="preserve">Customer đã đăng nhập (có accessToken). Có chuyến T1 đang mở bán, còn ghế AVAILABLE.</x:t>
  </x:si>
  <x:si>
    <x:t xml:space="preserve">Tạo đơn đặt chỗ (Booking)</x:t>
  </x:si>
  <x:si>
    <x:t xml:space="preserve">FR-BOOK-004..006/012; BR-BOOK-002..012; AC-SEAT-003; AC-BOOK-001..004/006/007  (12 TC)</x:t>
  </x:si>
  <x:si>
    <x:t xml:space="preserve">Customer đã đăng nhập (có accessToken). Có SeatHold ACTIVE.</x:t>
  </x:si>
  <x:si>
    <x:t xml:space="preserve">Xem đơn đặt chỗ của tôi</x:t>
  </x:si>
  <x:si>
    <x:t xml:space="preserve">FR-BOOK-008; AC-BOOK-005  (3 TC)</x:t>
  </x:si>
  <x:si>
    <x:t xml:space="preserve">Hủy vé &amp; hoàn tiền</x:t>
  </x:si>
  <x:si>
    <x:t xml:space="preserve">FR-BOOK-009; FR-PAY-008/011; AC-CANCEL-001..004; AC-PAY-009  (9 TC)</x:t>
  </x:si>
  <x:si>
    <x:t xml:space="preserve">Customer đã đăng nhập (có accessToken). Có booking PREPAID đã PAID, vé ISSUED.</x:t>
  </x:si>
  <x:si>
    <x:t xml:space="preserve">Đổi vé (SHOULD)</x:t>
  </x:si>
  <x:si>
    <x:t xml:space="preserve">FR-BOOK-010; BR-CANCEL-006/007; AC-CHANGE-001/002  (3 TC)</x:t>
  </x:si>
  <x:si>
    <x:t xml:space="preserve">Xem vé điện tử</x:t>
  </x:si>
  <x:si>
    <x:t xml:space="preserve">FR-TICKET-001..003; AC-TICKET-001/002; BR-TICKET-001  (4 TC)</x:t>
  </x:si>
  <x:si>
    <x:t xml:space="preserve">Check-in hành khách</x:t>
  </x:si>
  <x:si>
    <x:t xml:space="preserve">FR-TICKET-004..006; BR-TICKET-002/003; AC-TICKET-003..005; AC-OPS-005  (6 TC)</x:t>
  </x:si>
  <x:si>
    <x:t xml:space="preserve">Driver được phân công chuyến T1 đã đăng nhập. Có vé ISSUED của T1.</x:t>
  </x:si>
  <x:si>
    <x:t xml:space="preserve">Khuyến mãi (SHOULD)</x:t>
  </x:si>
  <x:si>
    <x:t xml:space="preserve">FR-PROMO-001/002; AC-PROMO-001/002  (4 TC)</x:t>
  </x:si>
  <x:si>
    <x:t xml:space="preserve">Đánh giá (SHOULD)</x:t>
  </x:si>
  <x:si>
    <x:t xml:space="preserve">FR-REVIEW-001/002; BR-REVIEW-001/002; AC-REVIEW-001..003  (4 TC)</x:t>
  </x:si>
  <x:si>
    <x:t xml:space="preserve">Tạo yêu cầu thanh toán</x:t>
  </x:si>
  <x:si>
    <x:t xml:space="preserve">Payment_Service</x:t>
  </x:si>
  <x:si>
    <x:t xml:space="preserve">FR-PAY-001/002; AC-PAY-007  (4 TC)</x:t>
  </x:si>
  <x:si>
    <x:t xml:space="preserve">Webhook thanh toán</x:t>
  </x:si>
  <x:si>
    <x:t xml:space="preserve">FR-PAY-003..007; BR-PAY-002..006/010; AC-PAY-001..006  (7 TC)</x:t>
  </x:si>
  <x:si>
    <x:t xml:space="preserve">Có payment PROCESSING; cổng sandbox/mock gửi được webhook.</x:t>
  </x:si>
  <x:si>
    <x:t xml:space="preserve">Settlement &amp; dữ liệu nhạy cảm</x:t>
  </x:si>
  <x:si>
    <x:t xml:space="preserve">FR-PAY-012/013; BR-PAY-009/012; AC-PAY-008  (2 TC)</x:t>
  </x:si>
  <x:si>
    <x:t xml:space="preserve">Thông báo</x:t>
  </x:si>
  <x:si>
    <x:t xml:space="preserve">Notification_Service</x:t>
  </x:si>
  <x:si>
    <x:t xml:space="preserve">FR-NOTIF-001..003; AC-NOTIF-001/002  (3 TC)</x:t>
  </x:si>
  <x:si>
    <x:t xml:space="preserve">Tra cứu giao dịch, kiểm toán &amp; khiếu nại</x:t>
  </x:si>
  <x:si>
    <x:t xml:space="preserve">Report_Service</x:t>
  </x:si>
  <x:si>
    <x:t xml:space="preserve">FR-ADMIN-002/003; BR-AUDIT-001/002; AC-ADMIN-003/004  (3 TC)</x:t>
  </x:si>
  <x:si>
    <x:t xml:space="preserve">Báo cáo &amp; xuất dữ liệu</x:t>
  </x:si>
  <x:si>
    <x:t xml:space="preserve">FR-REPORT-001..003; AC-REPORT-001/002  (4 TC)</x:t>
  </x:si>
  <x:si>
    <x:t xml:space="preserve">Test coverage</x:t>
  </x:si>
  <x:si>
    <x:t xml:space="preserve">%</x:t>
  </x:si>
  <x:si>
    <x:t xml:space="preserve">Test successful coverage</x:t>
  </x:si>
  <x:si>
    <x:t xml:space="preserve">Feature</x:t>
  </x:si>
  <x:si>
    <x:t xml:space="preserve">Auth Service</x:t>
  </x:si>
  <x:si>
    <x:t xml:space="preserve">Passed</x:t>
  </x:si>
  <x:si>
    <x:t xml:space="preserve">Test requirement</x:t>
  </x:si>
  <x:si>
    <x:t xml:space="preserve">FR-IAM-001..009, FR-ADMIN-001, AC-AUTH-001..009, AC-PROFILE-001, AC-ADMIN-001/002, AC-SEC-001/002, AUTHZ-001..008, NFR-SEC-003..007, SRS §7.4–7.5, §11.1: đăng ký, kích hoạt, đăng nhập, refresh/đăng xuất, quên mật khẩu, hồ sơ, quản lý người dùng &amp; tổ chức, hợp đồng API chung và bảo mật API.</x:t>
  </x:si>
  <x:si>
    <x:t xml:space="preserve">Failed</x:t>
  </x:si>
  <x:si>
    <x:t xml:space="preserve">Number of TCs</x:t>
  </x:si>
  <x:si>
    <x:t xml:space="preserve">Pending</x:t>
  </x:si>
  <x:si>
    <x:t xml:space="preserve">Testing Round</x:t>
  </x:si>
  <x:si>
    <x:t xml:space="preserve">N/A</x:t>
  </x:si>
  <x:si>
    <x:t xml:space="preserve">Test Case ID</x:t>
  </x:si>
  <x:si>
    <x:t xml:space="preserve">Test Case Description</x:t>
  </x:si>
  <x:si>
    <x:t xml:space="preserve">Test Case Procedure</x:t>
  </x:si>
  <x:si>
    <x:t xml:space="preserve">Expected Results</x:t>
  </x:si>
  <x:si>
    <x:t xml:space="preserve">Pre-conditions</x:t>
  </x:si>
  <x:si>
    <x:t xml:space="preserve">Round 1</x:t>
  </x:si>
  <x:si>
    <x:t xml:space="preserve">Test date</x:t>
  </x:si>
  <x:si>
    <x:t xml:space="preserve">Tester</x:t>
  </x:si>
  <x:si>
    <x:t xml:space="preserve">Note</x:t>
  </x:si>
  <x:si>
    <x:t xml:space="preserve">AUTH-01</x:t>
  </x:si>
  <x:si>
    <x:t xml:space="preserve">Đăng ký tài khoản hợp lệ</x:t>
  </x:si>
  <x:si>
    <x:t xml:space="preserve">1. POST /auth/register {fullName, email, phone, password hợp lệ}
2. Kiểm tra status + body</x:t>
  </x:si>
  <x:si>
    <x:t xml:space="preserve">201 Created; user ở trạng thái chưa kích hoạt; hệ thống gửi OTP/email xác minh; body không chứa mật khẩu.</x:t>
  </x:si>
  <x:si>
    <x:t xml:space="preserve">Email/SĐT chưa tồn tại.</x:t>
  </x:si>
  <x:si>
    <x:t xml:space="preserve">AUTH-02</x:t>
  </x:si>
  <x:si>
    <x:t xml:space="preserve">Đăng ký với email đã thuộc tài khoản đang hoạt động</x:t>
  </x:si>
  <x:si>
    <x:t xml:space="preserve">1. POST /auth/register với email đã tồn tại
2. Kiểm tra DB/API số user theo email</x:t>
  </x:si>
  <x:si>
    <x:t xml:space="preserve">Bị từ chối bằng lỗi 4xx an toàn; không tạo user thứ hai (AC-AUTH-001).</x:t>
  </x:si>
  <x:si>
    <x:t xml:space="preserve">Email đã thuộc tài khoản active.</x:t>
  </x:si>
  <x:si>
    <x:t xml:space="preserve">AUTH-03</x:t>
  </x:si>
  <x:si>
    <x:t xml:space="preserve">Đăng ký với số điện thoại đã tồn tại</x:t>
  </x:si>
  <x:si>
    <x:t xml:space="preserve">1. POST /auth/register với phone đã tồn tại</x:t>
  </x:si>
  <x:si>
    <x:t xml:space="preserve">Bị từ chối bằng lỗi 4xx an toàn; không tạo user thứ hai.</x:t>
  </x:si>
  <x:si>
    <x:t xml:space="preserve">SĐT đã thuộc tài khoản active.</x:t>
  </x:si>
  <x:si>
    <x:t xml:space="preserve">AUTH-04</x:t>
  </x:si>
  <x:si>
    <x:t xml:space="preserve">Đăng ký với dữ liệu không hợp lệ</x:t>
  </x:si>
  <x:si>
    <x:t xml:space="preserve">1. POST /auth/register lần lượt: thiếu trường bắt buộc / email sai định dạng / SĐT sai / mật khẩu yếu (data-driven bằng Collection Runner)</x:t>
  </x:si>
  <x:si>
    <x:t xml:space="preserve">400 VALIDATION_ERROR; details liệt kê field lỗi + lý do an toàn; không tạo user.</x:t>
  </x:si>
  <x:si>
    <x:t xml:space="preserve">AUTH-05</x:t>
  </x:si>
  <x:si>
    <x:t xml:space="preserve">Xác minh bằng OTP/token đúng</x:t>
  </x:si>
  <x:si>
    <x:t xml:space="preserve">1. Đăng ký tài khoản
2. POST /auth/verify {identifier, otp đúng}
3. POST /auth/login</x:t>
  </x:si>
  <x:si>
    <x:t xml:space="preserve">Xác minh thành công; user được kích hoạt và đăng nhập được (AC-AUTH-003).</x:t>
  </x:si>
  <x:si>
    <x:t xml:space="preserve">Có tài khoản vừa đăng ký, chưa kích hoạt.</x:t>
  </x:si>
  <x:si>
    <x:t xml:space="preserve">AUTH-06</x:t>
  </x:si>
  <x:si>
    <x:t xml:space="preserve">Xác minh bằng OTP sai / hết hạn</x:t>
  </x:si>
  <x:si>
    <x:t xml:space="preserve">1. POST /auth/verify với OTP sai
2. POST /auth/verify với OTP đã hết hạn
3. POST /auth/login</x:t>
  </x:si>
  <x:si>
    <x:t xml:space="preserve">Trả lỗi; user vẫn chưa hoạt động, không đăng nhập được; cho phép gửi lại OTP theo giới hạn (AC-AUTH-004).</x:t>
  </x:si>
  <x:si>
    <x:t xml:space="preserve">Có tài khoản chưa kích hoạt.</x:t>
  </x:si>
  <x:si>
    <x:t xml:space="preserve">AUTH-07</x:t>
  </x:si>
  <x:si>
    <x:t xml:space="preserve">Gửi lại OTP vượt giới hạn tần suất</x:t>
  </x:si>
  <x:si>
    <x:t xml:space="preserve">1. POST /auth/resend-otp liên tiếp vượt ngưỡng cấu hình</x:t>
  </x:si>
  <x:si>
    <x:t xml:space="preserve">429 RATE_LIMITED kèm header Retry-After (NFR-SEC-004).</x:t>
  </x:si>
  <x:si>
    <x:t xml:space="preserve">AUTH-08</x:t>
  </x:si>
  <x:si>
    <x:t xml:space="preserve">Đăng nhập bằng email đúng</x:t>
  </x:si>
  <x:si>
    <x:t xml:space="preserve">1. POST /auth/login {email, password đúng}
2. Giải mã accessToken</x:t>
  </x:si>
  <x:si>
    <x:t xml:space="preserve">200; trả accessToken + refreshToken; token chứa đúng vai trò và phạm vi nhà xe (AC-AUTH-005).</x:t>
  </x:si>
  <x:si>
    <x:t xml:space="preserve">Tài khoản active.</x:t>
  </x:si>
  <x:si>
    <x:t xml:space="preserve">AUTH-09</x:t>
  </x:si>
  <x:si>
    <x:t xml:space="preserve">Đăng nhập bằng số điện thoại đúng</x:t>
  </x:si>
  <x:si>
    <x:t xml:space="preserve">1. POST /auth/login {phone, password đúng}</x:t>
  </x:si>
  <x:si>
    <x:t xml:space="preserve">200; trả accessToken + refreshToken.</x:t>
  </x:si>
  <x:si>
    <x:t xml:space="preserve">AUTH-10</x:t>
  </x:si>
  <x:si>
    <x:t xml:space="preserve">Đăng nhập sai mật khẩu</x:t>
  </x:si>
  <x:si>
    <x:t xml:space="preserve">1. POST /auth/login {email, password sai}</x:t>
  </x:si>
  <x:si>
    <x:t xml:space="preserve">401; không cấp token; thông báo lỗi không lộ thông tin nhạy cảm.</x:t>
  </x:si>
  <x:si>
    <x:t xml:space="preserve">AUTH-11</x:t>
  </x:si>
  <x:si>
    <x:t xml:space="preserve">Đăng nhập tài khoản chưa kích hoạt / bị khóa</x:t>
  </x:si>
  <x:si>
    <x:t xml:space="preserve">1. POST /auth/login với tài khoản chưa kích hoạt
2. POST /auth/login với tài khoản bị Admin khóa</x:t>
  </x:si>
  <x:si>
    <x:t xml:space="preserve">Bị từ chối; không cấp token.</x:t>
  </x:si>
  <x:si>
    <x:t xml:space="preserve">Có tài khoản chưa kích hoạt và tài khoản bị khóa.</x:t>
  </x:si>
  <x:si>
    <x:t xml:space="preserve">AUTH-12</x:t>
  </x:si>
  <x:si>
    <x:t xml:space="preserve">Đăng nhập sai liên tiếp vượt ngưỡng (5 lần)</x:t>
  </x:si>
  <x:si>
    <x:t xml:space="preserve">1. POST /auth/login sai mật khẩu 5 lần liên tiếp
2. POST /auth/login lần 6 với mật khẩu đúng</x:t>
  </x:si>
  <x:si>
    <x:t xml:space="preserve">Tài khoản/định danh bị khóa hoặc làm chậm tối thiểu 15 phút; có nhật ký kiểm toán bảo mật (NFR-SEC-005, AC-AUTH-006).</x:t>
  </x:si>
  <x:si>
    <x:t xml:space="preserve">Tài khoản active, chưa bị khóa.</x:t>
  </x:si>
  <x:si>
    <x:t xml:space="preserve">AUTH-13</x:t>
  </x:si>
  <x:si>
    <x:t xml:space="preserve">Refresh token hợp lệ (xoay vòng)</x:t>
  </x:si>
  <x:si>
    <x:t xml:space="preserve">1. POST /auth/refresh {refreshToken}
2. Dùng lại refreshToken cũ để refresh lần nữa</x:t>
  </x:si>
  <x:si>
    <x:t xml:space="preserve">Lần 1: cấp token mới. Lần 2: refresh token cũ bị từ chối (AC-AUTH-007).</x:t>
  </x:si>
  <x:si>
    <x:t xml:space="preserve">Có refreshToken hợp lệ.</x:t>
  </x:si>
  <x:si>
    <x:t xml:space="preserve">AUTH-14</x:t>
  </x:si>
  <x:si>
    <x:t xml:space="preserve">Đăng xuất thu hồi refresh token</x:t>
  </x:si>
  <x:si>
    <x:t xml:space="preserve">1. POST /auth/logout
2. POST /auth/refresh bằng refreshToken vừa bị thu hồi</x:t>
  </x:si>
  <x:si>
    <x:t xml:space="preserve">Đăng xuất thành công; refresh bằng token đã thu hồi bị từ chối, không cấp phiên mới (AC-AUTH-008).</x:t>
  </x:si>
  <x:si>
    <x:t xml:space="preserve">Đã đăng nhập.</x:t>
  </x:si>
  <x:si>
    <x:t xml:space="preserve">AUTH-15</x:t>
  </x:si>
  <x:si>
    <x:t xml:space="preserve">Gọi API bảo vệ khi không có / hết hạn accessToken</x:t>
  </x:si>
  <x:si>
    <x:t xml:space="preserve">1. GET /profile không gửi token
2. GET /profile với accessToken đã hết hạn (&gt;15 phút)</x:t>
  </x:si>
  <x:si>
    <x:t xml:space="preserve">401 AUTHENTICATION_REQUIRED (NFR-SEC-003, AUTHZ-001).</x:t>
  </x:si>
  <x:si>
    <x:t xml:space="preserve">Có accessToken hết hạn.</x:t>
  </x:si>
  <x:si>
    <x:t xml:space="preserve">AUTH-16</x:t>
  </x:si>
  <x:si>
    <x:t xml:space="preserve">Yêu cầu reset mật khẩu không lộ việc tài khoản tồn tại</x:t>
  </x:si>
  <x:si>
    <x:t xml:space="preserve">1. POST /auth/forgot-password với email tồn tại
2. POST /auth/forgot-password với email không tồn tại
3. So sánh status + body 2 phản hồi</x:t>
  </x:si>
  <x:si>
    <x:t xml:space="preserve">Hai phản hồi giống nhau về status và nội dung, không tiết lộ tài khoản có tồn tại hay không (AC-AUTH-009).</x:t>
  </x:si>
  <x:si>
    <x:t xml:space="preserve">1 email đã đăng ký, 1 email chưa đăng ký.</x:t>
  </x:si>
  <x:si>
    <x:t xml:space="preserve">AUTH-17</x:t>
  </x:si>
  <x:si>
    <x:t xml:space="preserve">Đặt lại mật khẩu bằng token/OTP hợp lệ</x:t>
  </x:si>
  <x:si>
    <x:t xml:space="preserve">1. POST /auth/reset-password {token/otp hợp lệ, newPassword}
2. Đăng nhập bằng mật khẩu mới và mật khẩu cũ</x:t>
  </x:si>
  <x:si>
    <x:t xml:space="preserve">Đổi mật khẩu thành công; mật khẩu mới đăng nhập được, mật khẩu cũ bị từ chối.</x:t>
  </x:si>
  <x:si>
    <x:t xml:space="preserve">Đã yêu cầu reset, có token/OTP còn hạn.</x:t>
  </x:si>
  <x:si>
    <x:t xml:space="preserve">AUTH-18</x:t>
  </x:si>
  <x:si>
    <x:t xml:space="preserve">Đặt lại mật khẩu bằng token/OTP sai hoặc hết hạn</x:t>
  </x:si>
  <x:si>
    <x:t xml:space="preserve">1. POST /auth/reset-password với token sai
2. POST /auth/reset-password với token hết hạn</x:t>
  </x:si>
  <x:si>
    <x:t xml:space="preserve">Bị từ chối; mật khẩu không thay đổi.</x:t>
  </x:si>
  <x:si>
    <x:t xml:space="preserve">PRF-01</x:t>
  </x:si>
  <x:si>
    <x:t xml:space="preserve">Xem hồ sơ của chính mình</x:t>
  </x:si>
  <x:si>
    <x:t xml:space="preserve">1. GET /profile</x:t>
  </x:si>
  <x:si>
    <x:t xml:space="preserve">200; trả thông tin hồ sơ của đúng người dùng đang đăng nhập; không có mật khẩu/hash.</x:t>
  </x:si>
  <x:si>
    <x:t xml:space="preserve">PRF-02</x:t>
  </x:si>
  <x:si>
    <x:t xml:space="preserve">Cập nhật họ tên</x:t>
  </x:si>
  <x:si>
    <x:t xml:space="preserve">1. PUT /profile {fullName mới}
2. GET /profile</x:t>
  </x:si>
  <x:si>
    <x:t xml:space="preserve">200; họ tên được cập nhật.</x:t>
  </x:si>
  <x:si>
    <x:t xml:space="preserve">PRF-03</x:t>
  </x:si>
  <x:si>
    <x:t xml:space="preserve">Đổi email/SĐT phải xác minh lại</x:t>
  </x:si>
  <x:si>
    <x:t xml:space="preserve">1. PUT /profile {email mới}
2. GET /profile trước khi xác minh</x:t>
  </x:si>
  <x:si>
    <x:t xml:space="preserve">Email mới chỉ có hiệu lực sau khi xác minh; trước đó hồ sơ vẫn giữ email cũ (AC-PROFILE-001).</x:t>
  </x:si>
  <x:si>
    <x:t xml:space="preserve">PRF-04</x:t>
  </x:si>
  <x:si>
    <x:t xml:space="preserve">Xác minh email mới thất bại</x:t>
  </x:si>
  <x:si>
    <x:t xml:space="preserve">1. Đổi email
2. Xác minh với OTP sai
3. GET /profile</x:t>
  </x:si>
  <x:si>
    <x:t xml:space="preserve">Xác minh lỗi; giá trị cũ vẫn có hiệu lực (AC-PROFILE-001).</x:t>
  </x:si>
  <x:si>
    <x:t xml:space="preserve">ADM-01</x:t>
  </x:si>
  <x:si>
    <x:t xml:space="preserve">Khóa / mở khóa người dùng</x:t>
  </x:si>
  <x:si>
    <x:t xml:space="preserve">1. PATCH /admin/users/{id}/lock
2. Đăng nhập bằng user bị khóa
3. PATCH unlock, đăng nhập lại</x:t>
  </x:si>
  <x:si>
    <x:t xml:space="preserve">Bị khóa: không đăng nhập được, phiên bị thu hồi; mở khóa: đăng nhập được; có nhật ký kiểm toán.</x:t>
  </x:si>
  <x:si>
    <x:t xml:space="preserve">ADM-02</x:t>
  </x:si>
  <x:si>
    <x:t xml:space="preserve">Gán/bỏ vai trò và tư cách thành viên nhà xe</x:t>
  </x:si>
  <x:si>
    <x:t xml:space="preserve">1. POST /admin/users/{id}/roles
2. DELETE role
3. GET audit</x:t>
  </x:si>
  <x:si>
    <x:t xml:space="preserve">Thay đổi đúng phạm vi; phiên được thu hồi khi cần; có audit event (AC-ADMIN-001, AUTHZ-006).</x:t>
  </x:si>
  <x:si>
    <x:t xml:space="preserve">ADM-03</x:t>
  </x:si>
  <x:si>
    <x:t xml:space="preserve">Tạo tổ chức nhà xe và thành viên</x:t>
  </x:si>
  <x:si>
    <x:t xml:space="preserve">1. POST /admin/operators
2. POST /admin/operators/{id}/members (staff, driver)</x:t>
  </x:si>
  <x:si>
    <x:t xml:space="preserve">201; tổ chức và membership được tạo đúng (FR-IAM-009).</x:t>
  </x:si>
  <x:si>
    <x:t xml:space="preserve">ADM-04</x:t>
  </x:si>
  <x:si>
    <x:t xml:space="preserve">Gỡ quyền quản trị viên cuối cùng</x:t>
  </x:si>
  <x:si>
    <x:t xml:space="preserve">1. DELETE role ADMIN của admin duy nhất còn lại</x:t>
  </x:si>
  <x:si>
    <x:t xml:space="preserve">Bị từ chối; quyền giữ nguyên (AC-ADMIN-002).</x:t>
  </x:si>
  <x:si>
    <x:t xml:space="preserve">Hệ thống chỉ còn 1 Admin.</x:t>
  </x:si>
  <x:si>
    <x:t xml:space="preserve">ADM-05</x:t>
  </x:si>
  <x:si>
    <x:t xml:space="preserve">Người không phải Admin gọi API quản trị</x:t>
  </x:si>
  <x:si>
    <x:t xml:space="preserve">1. Customer/Operator Staff gọi POST /admin/users/{id}/lock</x:t>
  </x:si>
  <x:si>
    <x:t xml:space="preserve">403 ACCESS_DENIED; không thay đổi dữ liệu (AC-ADMIN-002, AUTHZ-002).</x:t>
  </x:si>
  <x:si>
    <x:t xml:space="preserve">CMN-01</x:t>
  </x:si>
  <x:si>
    <x:t xml:space="preserve">Cấu trúc phản hồi lỗi chuẩn</x:t>
  </x:si>
  <x:si>
    <x:t xml:space="preserve">1. Gây lỗi (400/401/403/404/409) trên nhiều API
2. Kiểm tra body</x:t>
  </x:si>
  <x:si>
    <x:t xml:space="preserve">Body lỗi có code ổn định, message an toàn, details đã lọc, correlationId; không có stack trace/SQL/tên bảng/thông tin bí mật.</x:t>
  </x:si>
  <x:si>
    <x:t xml:space="preserve">CMN-02</x:t>
  </x:si>
  <x:si>
    <x:t xml:space="preserve">Mã HTTP đúng ngữ nghĩa, không trả 200 cho lỗi nghiệp vụ</x:t>
  </x:si>
  <x:si>
    <x:t xml:space="preserve">1. Gây các lỗi nghiệp vụ trong Phụ lục 11.1 (SEAT_UNAVAILABLE, SEAT_HOLD_EXPIRED, BOOKING_EXPIRED, CANCELLATION_NOT_ALLOWED...)
2. Đối chiếu HTTP status và code</x:t>
  </x:si>
  <x:si>
    <x:t xml:space="preserve">HTTP status khớp bảng mã lỗi baseline (409/410/422/...); không có lỗi nghiệp vụ nào trả 200.</x:t>
  </x:si>
  <x:si>
    <x:t xml:space="preserve">CMN-03</x:t>
  </x:si>
  <x:si>
    <x:t xml:space="preserve">Correlation ID</x:t>
  </x:si>
  <x:si>
    <x:t xml:space="preserve">1. Gọi API không gửi X-Correlation-Id
2. Gọi API có gửi X-Correlation-Id</x:t>
  </x:si>
  <x:si>
    <x:t xml:space="preserve">Không gửi: server tự tạo mã. Có gửi: server giữ/ghi nhận mã đó trong phản hồi.</x:t>
  </x:si>
  <x:si>
    <x:t xml:space="preserve">CMN-04</x:t>
  </x:si>
  <x:si>
    <x:t xml:space="preserve">Lệnh quan trọng bắt buộc Idempotency-Key</x:t>
  </x:si>
  <x:si>
    <x:t xml:space="preserve">1. POST seat-holds, bookings, payments, cancel, refund... không gửi Idempotency-Key</x:t>
  </x:si>
  <x:si>
    <x:t xml:space="preserve">Bị từ chối (400) hoặc xử lý theo quy định bắt buộc idempotency (§7.4).</x:t>
  </x:si>
  <x:si>
    <x:t xml:space="preserve">CMN-05</x:t>
  </x:si>
  <x:si>
    <x:t xml:space="preserve">Định dạng thời gian và tiền VND</x:t>
  </x:si>
  <x:si>
    <x:t xml:space="preserve">1. Kiểm tra các trường thời gian và số tiền trong response booking/payment/trip</x:t>
  </x:si>
  <x:si>
    <x:t xml:space="preserve">Thời gian theo ISO-8601 có múi giờ; tiền VND là số nguyên/số thập phân chính xác, không có sai số float (BR-DATA-002, BR-BOOK-006).</x:t>
  </x:si>
  <x:si>
    <x:t xml:space="preserve">SEC-01</x:t>
  </x:si>
  <x:si>
    <x:t xml:space="preserve">Mọi endpoint không công khai yêu cầu token</x:t>
  </x:si>
  <x:si>
    <x:t xml:space="preserve">1. Chạy Collection Runner gọi toàn bộ endpoint bảo vệ không gửi token</x:t>
  </x:si>
  <x:si>
    <x:t xml:space="preserve">Tất cả trả 401 AUTHENTICATION_REQUIRED (AUTHZ-001).</x:t>
  </x:si>
  <x:si>
    <x:t xml:space="preserve">SEC-02</x:t>
  </x:si>
  <x:si>
    <x:t xml:space="preserve">Truy cập chéo vai trò / chéo nhà xe / chéo chủ sở hữu (IDOR)</x:t>
  </x:si>
  <x:si>
    <x:t xml:space="preserve">1. Customer gọi API Operator/Admin
2. Operator A gọi dữ liệu Operator B
3. Customer A gọi dữ liệu Customer B</x:t>
  </x:si>
  <x:si>
    <x:t xml:space="preserve">Tất cả bị từ chối (403/404), không lộ dữ liệu (AC-SEC-001, AUTHZ-002..004).</x:t>
  </x:si>
  <x:si>
    <x:t xml:space="preserve">Có tài khoản ở nhiều vai trò và nhiều nhà xe.</x:t>
  </x:si>
  <x:si>
    <x:t xml:space="preserve">SEC-03</x:t>
  </x:si>
  <x:si>
    <x:t xml:space="preserve">Token bị sửa đổi / sai chữ ký</x:t>
  </x:si>
  <x:si>
    <x:t xml:space="preserve">1. Sửa payload JWT (đổi role) giữ nguyên chữ ký
2. Gọi API protected</x:t>
  </x:si>
  <x:si>
    <x:t xml:space="preserve">401; không được cấp quyền cao hơn.</x:t>
  </x:si>
  <x:si>
    <x:t xml:space="preserve">SEC-04</x:t>
  </x:si>
  <x:si>
    <x:t xml:space="preserve">Giới hạn tần suất (rate limit) trên endpoint nhạy cảm</x:t>
  </x:si>
  <x:si>
    <x:t xml:space="preserve">1. Gọi liên tiếp /auth/login, /auth/forgot-password, /auth/resend-otp vượt ngưỡng</x:t>
  </x:si>
  <x:si>
    <x:t xml:space="preserve">429 RATE_LIMITED kèm Retry-After (NFR-SEC-004).</x:t>
  </x:si>
  <x:si>
    <x:t xml:space="preserve">SEC-05</x:t>
  </x:si>
  <x:si>
    <x:t xml:space="preserve">Chống SQL injection / XSS trên các trường nhập</x:t>
  </x:si>
  <x:si>
    <x:t xml:space="preserve">1. Gửi payload ' OR 1=1--, &lt;script&gt; vào các trường text của register, passenger, review, search</x:t>
  </x:si>
  <x:si>
    <x:t xml:space="preserve">Không lỗi 500/không lộ SQL; dữ liệu hiển thị được mã hóa (NFR-SEC-007).</x:t>
  </x:si>
  <x:si>
    <x:t xml:space="preserve">SEC-06</x:t>
  </x:si>
  <x:si>
    <x:t xml:space="preserve">Log không chứa dữ liệu nhạy cảm</x:t>
  </x:si>
  <x:si>
    <x:t xml:space="preserve">1. Thực hiện đăng nhập, thanh toán, tạo vé
2. Tra cứu log theo correlationId</x:t>
  </x:si>
  <x:si>
    <x:t xml:space="preserve">Log không có mật khẩu, OTP, token, PAN, CVV, giấy tờ tùy thân đầy đủ (AC-SEC-002, AC-OBS-001).</x:t>
  </x:si>
  <x:si>
    <x:t xml:space="preserve">Có quyền xem log hệ thống.</x:t>
  </x:si>
  <x:si>
    <x:t xml:space="preserve">Trip Service</x:t>
  </x:si>
  <x:si>
    <x:t xml:space="preserve">FR-SEARCH-001..006, FR-OPS-001..011, BR-TRIP-001..006, BR-TENANT-001/002, BR-DATA-004, AC-SEARCH-001..003, AC-OPS-001..006, AC-TRIP-001/002, AC-AUTH-002, NFR-SEC-007, trạng thái Trip (chương 6.7): tìm kiếm, chi tiết chuyến, quản lý nhà xe/xe/tài xế/tuyến, tạo - công bố - vận hành - hủy chuyến.</x:t>
  </x:si>
  <x:si>
    <x:t xml:space="preserve">SRCH-01</x:t>
  </x:si>
  <x:si>
    <x:t xml:space="preserve">Tìm chuyến hợp lệ (khách vãng lai, không token)</x:t>
  </x:si>
  <x:si>
    <x:t xml:space="preserve">1. GET /trips/search?from=&amp;to=&amp;date=&amp;passengers=1 (không gửi token)</x:t>
  </x:si>
  <x:si>
    <x:t xml:space="preserve">200; danh sách chuyến đúng điểm đi/đến/ngày; có phân trang và tổng số kết quả.</x:t>
  </x:si>
  <x:si>
    <x:t xml:space="preserve">Có chuyến phù hợp.</x:t>
  </x:si>
  <x:si>
    <x:t xml:space="preserve">SRCH-02</x:t>
  </x:si>
  <x:si>
    <x:t xml:space="preserve">Chuyến không còn bán không xuất hiện trong kết quả</x:t>
  </x:si>
  <x:si>
    <x:t xml:space="preserve">1. Tìm chuyến theo tuyến/ngày có chuyến CANCELLED/DEPARTED/đóng bán
2. Đối chiếu danh sách</x:t>
  </x:si>
  <x:si>
    <x:t xml:space="preserve">Chỉ trả các chuyến còn bán được; chuyến không còn bán không xuất hiện (AC-SEARCH-001).</x:t>
  </x:si>
  <x:si>
    <x:t xml:space="preserve">Có chuyến SCHEDULED và chuyến CANCELLED cùng tuyến.</x:t>
  </x:si>
  <x:si>
    <x:t xml:space="preserve">SRCH-03</x:t>
  </x:si>
  <x:si>
    <x:t xml:space="preserve">Tìm không có kết quả</x:t>
  </x:si>
  <x:si>
    <x:t xml:space="preserve">1. GET /trips/search với tuyến/ngày không có chuyến</x:t>
  </x:si>
  <x:si>
    <x:t xml:space="preserve">200; danh sách rỗng, total = 0; không trả lỗi hệ thống (AC-SEARCH-003).</x:t>
  </x:si>
  <x:si>
    <x:t xml:space="preserve">SRCH-04</x:t>
  </x:si>
  <x:si>
    <x:t xml:space="preserve">Tìm với tham số không hợp lệ</x:t>
  </x:si>
  <x:si>
    <x:t xml:space="preserve">1. GET /trips/search lần lượt: thiếu điểm đi/đến, ngày sai định dạng, passengers ≤ 0, điểm đi trùng điểm đến</x:t>
  </x:si>
  <x:si>
    <x:t xml:space="preserve">400 VALIDATION_ERROR kèm danh sách field lỗi.</x:t>
  </x:si>
  <x:si>
    <x:t xml:space="preserve">SRCH-05</x:t>
  </x:si>
  <x:si>
    <x:t xml:space="preserve">Lọc kết quả theo tiêu chí</x:t>
  </x:si>
  <x:si>
    <x:t xml:space="preserve">1. GET /trips/search kèm lần lượt: minPrice/maxPrice, giờ đi, operatorId, loại xe, điểm đón/trả, tiện nghi, đánh giá tối thiểu</x:t>
  </x:si>
  <x:si>
    <x:t xml:space="preserve">Mọi chuyến trả về đều thỏa tiêu chí lọc.</x:t>
  </x:si>
  <x:si>
    <x:t xml:space="preserve">Có nhiều chuyến phù hợp.</x:t>
  </x:si>
  <x:si>
    <x:t xml:space="preserve">SRCH-06</x:t>
  </x:si>
  <x:si>
    <x:t xml:space="preserve">Sắp xếp kết quả</x:t>
  </x:si>
  <x:si>
    <x:t xml:space="preserve">1. GET /trips/search?sort=price,asc|desc
2. Lặp với giờ khởi hành, thời lượng, đánh giá</x:t>
  </x:si>
  <x:si>
    <x:t xml:space="preserve">Danh sách đúng thứ tự theo tiêu chí và chiều sắp xếp.</x:t>
  </x:si>
  <x:si>
    <x:t xml:space="preserve">SRCH-07</x:t>
  </x:si>
  <x:si>
    <x:t xml:space="preserve">Phân trang</x:t>
  </x:si>
  <x:si>
    <x:t xml:space="preserve">1. GET /trips/search?page=1&amp;size=5
2. GET page=2
3. So sánh total, không trùng/thiếu phần tử</x:t>
  </x:si>
  <x:si>
    <x:t xml:space="preserve">Trả đúng số phần tử mỗi trang; có đủ thông tin phân trang (page, size, total); các trang không trùng nhau (AC-SEARCH-002).</x:t>
  </x:si>
  <x:si>
    <x:t xml:space="preserve">Có &gt; 10 chuyến phù hợp.</x:t>
  </x:si>
  <x:si>
    <x:t xml:space="preserve">SRCH-08</x:t>
  </x:si>
  <x:si>
    <x:t xml:space="preserve">Kích thước trang vượt giới hạn</x:t>
  </x:si>
  <x:si>
    <x:t xml:space="preserve">1. GET /trips/search?size=100000</x:t>
  </x:si>
  <x:si>
    <x:t xml:space="preserve">Bị giới hạn về mức tối đa cho phép hoặc trả 400; không trả toàn bộ dữ liệu (§7.4).</x:t>
  </x:si>
  <x:si>
    <x:t xml:space="preserve">SRCH-09</x:t>
  </x:si>
  <x:si>
    <x:t xml:space="preserve">Xem chi tiết chuyến xe</x:t>
  </x:si>
  <x:si>
    <x:t xml:space="preserve">1. GET /trips/{tripId}</x:t>
  </x:si>
  <x:si>
    <x:t xml:space="preserve">200; có nhà xe, lịch trình, xe, tiện nghi, điểm đón/trả, giá và bản chụp chính sách đang áp dụng.</x:t>
  </x:si>
  <x:si>
    <x:t xml:space="preserve">SRCH-10</x:t>
  </x:si>
  <x:si>
    <x:t xml:space="preserve">Xem chuyến không tồn tại</x:t>
  </x:si>
  <x:si>
    <x:t xml:space="preserve">1. GET /trips/{id không tồn tại}</x:t>
  </x:si>
  <x:si>
    <x:t xml:space="preserve">404 RESOURCE_NOT_FOUND; không có stack trace/thông tin hệ thống.</x:t>
  </x:si>
  <x:si>
    <x:t xml:space="preserve">SRCH-11</x:t>
  </x:si>
  <x:si>
    <x:t xml:space="preserve">Số ghế trống kèm thời điểm cập nhật</x:t>
  </x:si>
  <x:si>
    <x:t xml:space="preserve">1. GET /trips/{tripId}/seats
2. Đối chiếu số ghế AVAILABLE và trường thời điểm cập nhật</x:t>
  </x:si>
  <x:si>
    <x:t xml:space="preserve">Có số ghế trống và thời điểm cập nhật (FR-SEARCH-006).</x:t>
  </x:si>
  <x:si>
    <x:t xml:space="preserve">SRCH-12</x:t>
  </x:si>
  <x:si>
    <x:t xml:space="preserve">Tham số tìm kiếm chứa payload SQL injection/XSS</x:t>
  </x:si>
  <x:si>
    <x:t xml:space="preserve">1. GET /trips/search?from=' OR 1=1--
2. GET /trips/search?from=&lt;script&gt;alert(1)&lt;/script&gt;</x:t>
  </x:si>
  <x:si>
    <x:t xml:space="preserve">Không lỗi 500, không lộ lỗi SQL/tên bảng; dữ liệu trả về được mã hóa ký tự đặc biệt (NFR-SEC-007).</x:t>
  </x:si>
  <x:si>
    <x:t xml:space="preserve">OPS-01</x:t>
  </x:si>
  <x:si>
    <x:t xml:space="preserve">Cập nhật thông tin nhà xe, bật/tắt trả sau</x:t>
  </x:si>
  <x:si>
    <x:t xml:space="preserve">1. PUT /operators/me {payLaterEnabled:true}
2. GET /operators/me</x:t>
  </x:si>
  <x:si>
    <x:t xml:space="preserve">200; thông tin được cập nhật đúng; dữ liệu gắn với nhà xe A.</x:t>
  </x:si>
  <x:si>
    <x:t xml:space="preserve">OPS-02</x:t>
  </x:si>
  <x:si>
    <x:t xml:space="preserve">Nhà xe đổi tỷ lệ phí sàn qua API nhà xe</x:t>
  </x:si>
  <x:si>
    <x:t xml:space="preserve">1. PUT /operators/me {platformFeeRate:0}
2. GET /operators/me</x:t>
  </x:si>
  <x:si>
    <x:t xml:space="preserve">Bị từ chối hoặc bỏ qua; phí sàn không đổi (FR-OPS-011).</x:t>
  </x:si>
  <x:si>
    <x:t xml:space="preserve">OPS-03</x:t>
  </x:si>
  <x:si>
    <x:t xml:space="preserve">Nhân viên nhà xe A truy cập dữ liệu nhà xe B</x:t>
  </x:si>
  <x:si>
    <x:t xml:space="preserve">1. PUT /operators/{orgId B} / gửi organizationId = B trong body
2. GET xe/tài xế/tuyến của B</x:t>
  </x:si>
  <x:si>
    <x:t xml:space="preserve">403 ACCESS_DENIED / 404; không trả dữ liệu của B; orgId lấy từ ngữ cảnh định danh (AC-AUTH-002, AUTHZ-003).</x:t>
  </x:si>
  <x:si>
    <x:t xml:space="preserve">Operator Staff của nhà xe A đã đăng nhập. Có dữ liệu nhà xe B.</x:t>
  </x:si>
  <x:si>
    <x:t xml:space="preserve">OPS-04</x:t>
  </x:si>
  <x:si>
    <x:t xml:space="preserve">Tạo xe và sơ đồ ghế hợp lệ</x:t>
  </x:si>
  <x:si>
    <x:t xml:space="preserve">1. POST /buses {plateNumber, type, seatLayout}
2. GET /buses</x:t>
  </x:si>
  <x:si>
    <x:t xml:space="preserve">201; xe gắn với nhà xe A; nhà xe B không thấy (AC-OPS-001).</x:t>
  </x:si>
  <x:si>
    <x:t xml:space="preserve">OPS-05</x:t>
  </x:si>
  <x:si>
    <x:t xml:space="preserve">Tạo xe với biển số trùng</x:t>
  </x:si>
  <x:si>
    <x:t xml:space="preserve">1. POST /buses với plateNumber đã tồn tại</x:t>
  </x:si>
  <x:si>
    <x:t xml:space="preserve">Bị từ chối (409/400); không tạo bản ghi trùng.</x:t>
  </x:si>
  <x:si>
    <x:t xml:space="preserve">Operator Staff của nhà xe A đã đăng nhập. Đã có xe với biển số test.</x:t>
  </x:si>
  <x:si>
    <x:t xml:space="preserve">OPS-06</x:t>
  </x:si>
  <x:si>
    <x:t xml:space="preserve">Xóa xe đã được chuyến tham chiếu</x:t>
  </x:si>
  <x:si>
    <x:t xml:space="preserve">1. DELETE /buses/{id}
2. GET /buses/{id}</x:t>
  </x:si>
  <x:si>
    <x:t xml:space="preserve">Không xóa cứng; chỉ vô hiệu hóa/xóa mềm (AC-OPS-002, FR-OPS-009).</x:t>
  </x:si>
  <x:si>
    <x:t xml:space="preserve">Operator Staff của nhà xe A đã đăng nhập. Xe đã gắn vào chuyến.</x:t>
  </x:si>
  <x:si>
    <x:t xml:space="preserve">OPS-07</x:t>
  </x:si>
  <x:si>
    <x:t xml:space="preserve">Tạo tài xế hợp lệ</x:t>
  </x:si>
  <x:si>
    <x:t xml:space="preserve">1. POST /drivers {name, phone, licenseNo, licenseExpiry còn hạn}</x:t>
  </x:si>
  <x:si>
    <x:t xml:space="preserve">201; tài xế gắn với nhà xe A.</x:t>
  </x:si>
  <x:si>
    <x:t xml:space="preserve">OPS-08</x:t>
  </x:si>
  <x:si>
    <x:t xml:space="preserve">Tạo tài xế có giấy phép hết hạn</x:t>
  </x:si>
  <x:si>
    <x:t xml:space="preserve">1. POST /drivers {licenseExpiry trong quá khứ}</x:t>
  </x:si>
  <x:si>
    <x:t xml:space="preserve">400 VALIDATION_ERROR hoặc bị từ chối do giấy phép hết hạn (FR-OPS-003).</x:t>
  </x:si>
  <x:si>
    <x:t xml:space="preserve">OPS-09</x:t>
  </x:si>
  <x:si>
    <x:t xml:space="preserve">Tạo tuyến với các điểm dừng có thứ tự</x:t>
  </x:si>
  <x:si>
    <x:t xml:space="preserve">1. POST /routes {stops:[{order,time}...]}
2. GET /routes/{id}</x:t>
  </x:si>
  <x:si>
    <x:t xml:space="preserve">201; tuyến, thứ tự dừng và thời gian dự kiến được lưu đúng.</x:t>
  </x:si>
  <x:si>
    <x:t xml:space="preserve">OPS-10</x:t>
  </x:si>
  <x:si>
    <x:t xml:space="preserve">Tạo tuyến với thứ tự điểm dừng không hợp lệ</x:t>
  </x:si>
  <x:si>
    <x:t xml:space="preserve">1. POST /routes với thứ tự trùng/không liên tục hoặc thời gian đảo ngược</x:t>
  </x:si>
  <x:si>
    <x:t xml:space="preserve">400 VALIDATION_ERROR; không tạo tuyến.</x:t>
  </x:si>
  <x:si>
    <x:t xml:space="preserve">OPS-11</x:t>
  </x:si>
  <x:si>
    <x:t xml:space="preserve">Xóa tuyến đã được tham chiếu</x:t>
  </x:si>
  <x:si>
    <x:t xml:space="preserve">1. DELETE /routes/{id}</x:t>
  </x:si>
  <x:si>
    <x:t xml:space="preserve">Không xóa cứng; chỉ vô hiệu hóa/xóa mềm (FR-OPS-009).</x:t>
  </x:si>
  <x:si>
    <x:t xml:space="preserve">Operator Staff của nhà xe A đã đăng nhập. Tuyến đã gắn vào chuyến.</x:t>
  </x:si>
  <x:si>
    <x:t xml:space="preserve">TRIP-01</x:t>
  </x:si>
  <x:si>
    <x:t xml:space="preserve">Tạo chuyến ở dạng nháp</x:t>
  </x:si>
  <x:si>
    <x:t xml:space="preserve">1. POST /trips {routeId, busId, driverId, departureTime, price}
2. GET /trips/{id}</x:t>
  </x:si>
  <x:si>
    <x:t xml:space="preserve">201; chuyến ở trạng thái DRAFT, chưa xuất hiện trong kết quả tìm kiếm.</x:t>
  </x:si>
  <x:si>
    <x:t xml:space="preserve">TRIP-02</x:t>
  </x:si>
  <x:si>
    <x:t xml:space="preserve">Công bố chuyến đủ điều kiện</x:t>
  </x:si>
  <x:si>
    <x:t xml:space="preserve">1. POST /trips/{id}/publish
2. GET seats
3. Tìm chuyến ở Search API</x:t>
  </x:si>
  <x:si>
    <x:t xml:space="preserve">Chuyến chuyển SCHEDULED/mở bán; tạo bản chụp ghế; xuất hiện trong tìm kiếm.</x:t>
  </x:si>
  <x:si>
    <x:t xml:space="preserve">Có chuyến DRAFT đủ tuyến, xe, tài xế, giá, chính sách.</x:t>
  </x:si>
  <x:si>
    <x:t xml:space="preserve">TRIP-03</x:t>
  </x:si>
  <x:si>
    <x:t xml:space="preserve">Công bố chuyến thiếu thông tin bắt buộc</x:t>
  </x:si>
  <x:si>
    <x:t xml:space="preserve">1. Tạo chuyến thiếu xe/tài xế/giá
2. POST /trips/{id}/publish</x:t>
  </x:si>
  <x:si>
    <x:t xml:space="preserve">Bị từ chối; chuyến không được mở bán (BR-TRIP-001).</x:t>
  </x:si>
  <x:si>
    <x:t xml:space="preserve">Có chuyến DRAFT thiếu thông tin.</x:t>
  </x:si>
  <x:si>
    <x:t xml:space="preserve">TRIP-04</x:t>
  </x:si>
  <x:si>
    <x:t xml:space="preserve">Công bố chuyến trùng lịch xe</x:t>
  </x:si>
  <x:si>
    <x:t xml:space="preserve">1. Tạo chuyến mới cùng xe, thời gian chồng lấn (kể cả khoảng đệm)
2. POST publish</x:t>
  </x:si>
  <x:si>
    <x:t xml:space="preserve">409 SCHEDULE_CONFLICT; trả thông tin xung đột trong phạm vi cho phép (AC-OPS-003).</x:t>
  </x:si>
  <x:si>
    <x:t xml:space="preserve">Xe đã có chuyến cùng khung giờ.</x:t>
  </x:si>
  <x:si>
    <x:t xml:space="preserve">TRIP-05</x:t>
  </x:si>
  <x:si>
    <x:t xml:space="preserve">Công bố chuyến trùng lịch tài xế</x:t>
  </x:si>
  <x:si>
    <x:t xml:space="preserve">1. Tạo chuyến mới cùng tài xế, thời gian chồng lấn
2. POST publish</x:t>
  </x:si>
  <x:si>
    <x:t xml:space="preserve">409 SCHEDULE_CONFLICT (BR-TRIP-002).</x:t>
  </x:si>
  <x:si>
    <x:t xml:space="preserve">Tài xế đã có chuyến cùng khung giờ.</x:t>
  </x:si>
  <x:si>
    <x:t xml:space="preserve">TRIP-06</x:t>
  </x:si>
  <x:si>
    <x:t xml:space="preserve">Kho ghế chưa sẵn sàng khi công bố</x:t>
  </x:si>
  <x:si>
    <x:t xml:space="preserve">1. Giả lập lỗi tạo kho ghế
2. POST publish
3. Tìm chuyến</x:t>
  </x:si>
  <x:si>
    <x:t xml:space="preserve">Chuyến chưa được đánh dấu có thể bán cho đến khi kho ghế sẵn sàng (AC-OPS-004).</x:t>
  </x:si>
  <x:si>
    <x:t xml:space="preserve">Có chuyến hợp lệ; giả lập được lỗi tạo kho ghế.</x:t>
  </x:si>
  <x:si>
    <x:t xml:space="preserve">TRIP-07</x:t>
  </x:si>
  <x:si>
    <x:t xml:space="preserve">Chuyển trạng thái chuyến hợp lệ</x:t>
  </x:si>
  <x:si>
    <x:t xml:space="preserve">1. PATCH /trips/{id}/status lần lượt BOARDING → DEPARTED → IN_TRANSIT → ARRIVED → COMPLETED
2. GET trip + audit</x:t>
  </x:si>
  <x:si>
    <x:t xml:space="preserve">Mỗi bước cập nhật đúng trạng thái, phiên bản và có nhật ký kiểm toán (AC-OPS-006).</x:t>
  </x:si>
  <x:si>
    <x:t xml:space="preserve">TRIP-08</x:t>
  </x:si>
  <x:si>
    <x:t xml:space="preserve">Chuyển trạng thái không hợp lệ</x:t>
  </x:si>
  <x:si>
    <x:t xml:space="preserve">1. PATCH status SCHEDULED → ARRIVED (nhảy bước)</x:t>
  </x:si>
  <x:si>
    <x:t xml:space="preserve">409 INVALID_STATE_TRANSITION; giữ nguyên trạng thái, trả trạng thái hiện tại.</x:t>
  </x:si>
  <x:si>
    <x:t xml:space="preserve">TRIP-09</x:t>
  </x:si>
  <x:si>
    <x:t xml:space="preserve">Tài xế không được phân công đổi trạng thái / xem hành khách</x:t>
  </x:si>
  <x:si>
    <x:t xml:space="preserve">1. Driver khác PATCH /trips/{id}/status
2. Driver khác GET /trips/{id}/passengers</x:t>
  </x:si>
  <x:si>
    <x:t xml:space="preserve">403 ACCESS_DENIED; không trả thông tin cá nhân (AC-OPS-005, AUTHZ-005).</x:t>
  </x:si>
  <x:si>
    <x:t xml:space="preserve">Driver không được phân công T1.</x:t>
  </x:si>
  <x:si>
    <x:t xml:space="preserve">TRIP-10</x:t>
  </x:si>
  <x:si>
    <x:t xml:space="preserve">Xem danh sách hành khách đúng phạm vi và tối thiểu</x:t>
  </x:si>
  <x:si>
    <x:t xml:space="preserve">1. Staff nhà xe A GET /trips/{T1 của A}/passengers
2. Staff nhà xe A GET passengers của chuyến nhà xe B</x:t>
  </x:si>
  <x:si>
    <x:t xml:space="preserve">Chuyến của A: chỉ thông tin cá nhân tối thiểu. Chuyến của B: 403/404, không lộ dữ liệu (FR-BOOK-011, AUTHZ-007).</x:t>
  </x:si>
  <x:si>
    <x:t xml:space="preserve">Operator Staff của nhà xe A đã đăng nhập. Có booking ở chuyến của A và B.</x:t>
  </x:si>
  <x:si>
    <x:t xml:space="preserve">TRIP-11</x:t>
  </x:si>
  <x:si>
    <x:t xml:space="preserve">Tài xế xem phân công của mình</x:t>
  </x:si>
  <x:si>
    <x:t xml:space="preserve">1. GET /drivers/me/assignments</x:t>
  </x:si>
  <x:si>
    <x:t xml:space="preserve">Chỉ trả các chuyến được phân công còn hiệu lực (FR-OPS-010).</x:t>
  </x:si>
  <x:si>
    <x:t xml:space="preserve">TRIP-12</x:t>
  </x:si>
  <x:si>
    <x:t xml:space="preserve">Hủy chuyến đã bán vé</x:t>
  </x:si>
  <x:si>
    <x:t xml:space="preserve">1. POST /trips/{id}/cancel {reason}
2. GET trip, tickets, refunds, notifications</x:t>
  </x:si>
  <x:si>
    <x:t xml:space="preserve">Chuyến CANCELLED; vé bị vô hiệu; chỉ hoàn tiền qua cổng cho PREPAID đã thu; PAY_LATER không hoàn qua cổng; khách được thông báo (AC-TRIP-001).</x:t>
  </x:si>
  <x:si>
    <x:t xml:space="preserve">TRIP-13</x:t>
  </x:si>
  <x:si>
    <x:t xml:space="preserve">Gửi lặp lệnh hủy chuyến</x:t>
  </x:si>
  <x:si>
    <x:t xml:space="preserve">1. POST cancel (key K)
2. Gửi lại cùng key K
3. Đếm lần hủy và refund</x:t>
  </x:si>
  <x:si>
    <x:t xml:space="preserve">Chỉ có 1 lần hủy, không tạo hoàn tiền trùng (AC-TRIP-002, BR-TRIP-006).</x:t>
  </x:si>
  <x:si>
    <x:t xml:space="preserve">Chuyến có vé PREPAID.</x:t>
  </x:si>
  <x:si>
    <x:t xml:space="preserve">TRIP-14</x:t>
  </x:si>
  <x:si>
    <x:t xml:space="preserve">Xóa cứng chuyến đã có booking/vé</x:t>
  </x:si>
  <x:si>
    <x:t xml:space="preserve">1. DELETE /trips/{id}</x:t>
  </x:si>
  <x:si>
    <x:t xml:space="preserve">Không cho xóa cứng; chỉ được hủy (BR-TRIP-004).</x:t>
  </x:si>
  <x:si>
    <x:t xml:space="preserve">Chuyến đã có booking.</x:t>
  </x:si>
  <x:si>
    <x:t xml:space="preserve">Booking Service</x:t>
  </x:si>
  <x:si>
    <x:t xml:space="preserve">FR-BOOK-001..012, FR-TICKET-001..006, FR-PROMO-001/002, FR-REVIEW-001/002, BR-SEAT-001..010, BR-BOOK-001..012, BR-CANCEL-001..008, BR-TICKET-001..004, BR-REVIEW-001/002, AC-SEAT/BOOK/CANCEL/CHANGE/TICKET/PROMO/REVIEW: giữ ghế, đặt chỗ, hủy &amp; đổi vé, vé điện tử, check-in, khuyến mãi, đánh giá.</x:t>
  </x:si>
  <x:si>
    <x:t xml:space="preserve">BOOK-01</x:t>
  </x:si>
  <x:si>
    <x:t xml:space="preserve">Xem danh sách TripSeat và tình trạng</x:t>
  </x:si>
  <x:si>
    <x:t xml:space="preserve">1. GET /trips/{tripId}/seats (có token)</x:t>
  </x:si>
  <x:si>
    <x:t xml:space="preserve">200; trả danh sách ghế kèm trạng thái AVAILABLE/HELD/BOOKED/DISABLED.</x:t>
  </x:si>
  <x:si>
    <x:t xml:space="preserve">BOOK-02</x:t>
  </x:si>
  <x:si>
    <x:t xml:space="preserve">Giữ 1 ghế hợp lệ</x:t>
  </x:si>
  <x:si>
    <x:t xml:space="preserve">1. POST /seat-holds {tripId, seatIds:[A1]} + header Idempotency-Key
2. GET seats</x:t>
  </x:si>
  <x:si>
    <x:t xml:space="preserve">201; trả holdId/token, expiresAt, bản chụp giá; ghế A1 chuyển HELD.</x:t>
  </x:si>
  <x:si>
    <x:t xml:space="preserve">BOOK-03</x:t>
  </x:si>
  <x:si>
    <x:t xml:space="preserve">Giữ nhiều ghế hợp lệ trong cùng yêu cầu</x:t>
  </x:si>
  <x:si>
    <x:t xml:space="preserve">1. POST /seat-holds {seatIds:[A1,A2]}</x:t>
  </x:si>
  <x:si>
    <x:t xml:space="preserve">201; cả 2 ghế HELD, cùng 1 SeatHold.</x:t>
  </x:si>
  <x:si>
    <x:t xml:space="preserve">BOOK-04</x:t>
  </x:si>
  <x:si>
    <x:t xml:space="preserve">Giữ nhiều ghế khi có 1 ghế không còn trống (all-or-nothing)</x:t>
  </x:si>
  <x:si>
    <x:t xml:space="preserve">1. Customer 2 giữ A2
2. Customer 1 POST /seat-holds {seatIds:[A1,A2]}
3. GET seats</x:t>
  </x:si>
  <x:si>
    <x:t xml:space="preserve">409 SEAT_UNAVAILABLE kèm seat code bị ảnh hưởng; toàn bộ yêu cầu thất bại, A1 vẫn AVAILABLE (AC-SEAT-002).</x:t>
  </x:si>
  <x:si>
    <x:t xml:space="preserve">A1 AVAILABLE, A2 đã HELD/BOOKED.</x:t>
  </x:si>
  <x:si>
    <x:t xml:space="preserve">BOOK-05</x:t>
  </x:si>
  <x:si>
    <x:t xml:space="preserve">Hai khách giữ cùng 1 ghế đồng thời</x:t>
  </x:si>
  <x:si>
    <x:t xml:space="preserve">1. Gửi đồng thời 2 request POST /seat-holds ghế A1 từ 2 Customer khác nhau (Runner/Newman song song)
2. Kiểm tra kết quả</x:t>
  </x:si>
  <x:si>
    <x:t xml:space="preserve">Đúng 1 request thành công; request còn lại 409 SEAT_UNAVAILABLE; không bán trùng ghế (AC-SEAT-001, NFR-PERF-007).</x:t>
  </x:si>
  <x:si>
    <x:t xml:space="preserve">A1 AVAILABLE; 2 Customer đã đăng nhập.</x:t>
  </x:si>
  <x:si>
    <x:t xml:space="preserve">BOOK-06</x:t>
  </x:si>
  <x:si>
    <x:t xml:space="preserve">Giữ ghế khi chưa đăng nhập</x:t>
  </x:si>
  <x:si>
    <x:t xml:space="preserve">1. POST /seat-holds không gửi token</x:t>
  </x:si>
  <x:si>
    <x:t xml:space="preserve">401 AUTHENTICATION_REQUIRED; không tạo SeatHold (BR-BOOK-001).</x:t>
  </x:si>
  <x:si>
    <x:t xml:space="preserve">BOOK-07</x:t>
  </x:si>
  <x:si>
    <x:t xml:space="preserve">Giữ ghế của chuyến không còn bán</x:t>
  </x:si>
  <x:si>
    <x:t xml:space="preserve">1. POST /seat-holds với chuyến CANCELLED/DEPARTED</x:t>
  </x:si>
  <x:si>
    <x:t xml:space="preserve">409 TRIP_NOT_SELLABLE; không tạo SeatHold.</x:t>
  </x:si>
  <x:si>
    <x:t xml:space="preserve">Có chuyến đã CANCELLED hoặc DEPARTED.</x:t>
  </x:si>
  <x:si>
    <x:t xml:space="preserve">BOOK-08</x:t>
  </x:si>
  <x:si>
    <x:t xml:space="preserve">Gửi lặp cùng Idempotency-Key và cùng nội dung</x:t>
  </x:si>
  <x:si>
    <x:t xml:space="preserve">1. POST /seat-holds (key K, body B)
2. Gửi lại đúng key K, body B</x:t>
  </x:si>
  <x:si>
    <x:t xml:space="preserve">Trả lại đúng SeatHold đã tạo; không tạo SeatHold mới (BR-SEAT-007).</x:t>
  </x:si>
  <x:si>
    <x:t xml:space="preserve">BOOK-09</x:t>
  </x:si>
  <x:si>
    <x:t xml:space="preserve">SeatHold hết hạn được giải phóng tự động</x:t>
  </x:si>
  <x:si>
    <x:t xml:space="preserve">1. Giữ ghế A1
2. Chờ quá expiresAt
3. GET seats</x:t>
  </x:si>
  <x:si>
    <x:t xml:space="preserve">SeatHold chuyển EXPIRED; ghế A1 trở về AVAILABLE (FR-BOOK-007, BR-SEAT-008).</x:t>
  </x:si>
  <x:si>
    <x:t xml:space="preserve">Đã có SeatHold ACTIVE; biết timeout cấu hình.</x:t>
  </x:si>
  <x:si>
    <x:t xml:space="preserve">BOOK-10</x:t>
  </x:si>
  <x:si>
    <x:t xml:space="preserve">Tạo booking PREPAID từ SeatHold hợp lệ</x:t>
  </x:si>
  <x:si>
    <x:t xml:space="preserve">1. POST /bookings {holdId, passengers[1 người/ghế], paymentChannel:PREPAID} + Idempotency-Key</x:t>
  </x:si>
  <x:si>
    <x:t xml:space="preserve">201; booking PENDING_PAYMENT; backend tính tạm tính, giảm giá, phí, tổng tiền; SeatHold chuyển CONSUMED.</x:t>
  </x:si>
  <x:si>
    <x:t xml:space="preserve">BOOK-11</x:t>
  </x:si>
  <x:si>
    <x:t xml:space="preserve">Backend bỏ qua tổng tiền do client gửi</x:t>
  </x:si>
  <x:si>
    <x:t xml:space="preserve">1. POST /bookings kèm totalAmount nhỏ hơn giá trong bản chụp</x:t>
  </x:si>
  <x:si>
    <x:t xml:space="preserve">Server bỏ qua giá trị client, tính lại và trả tổng tiền chính thức (AC-BOOK-001, BR-BOOK-004).</x:t>
  </x:si>
  <x:si>
    <x:t xml:space="preserve">BOOK-12</x:t>
  </x:si>
  <x:si>
    <x:t xml:space="preserve">Tạo booking lặp cùng key và cùng nội dung</x:t>
  </x:si>
  <x:si>
    <x:t xml:space="preserve">1. POST /bookings (key K, body B)
2. Gửi lại nhiều lần cùng K, B</x:t>
  </x:si>
  <x:si>
    <x:t xml:space="preserve">Chỉ có 1 booking; các phản hồi tham chiếu cùng bookingId (AC-BOOK-002).</x:t>
  </x:si>
  <x:si>
    <x:t xml:space="preserve">BOOK-13</x:t>
  </x:si>
  <x:si>
    <x:t xml:space="preserve">Cùng Idempotency-Key nhưng nội dung khác</x:t>
  </x:si>
  <x:si>
    <x:t xml:space="preserve">1. POST /bookings (key K, body B)
2. POST /bookings (key K, body B' khác)</x:t>
  </x:si>
  <x:si>
    <x:t xml:space="preserve">409 IDEMPOTENCY_CONFLICT; không phát sinh tác động mới (AC-BOOK-003).</x:t>
  </x:si>
  <x:si>
    <x:t xml:space="preserve">BOOK-14</x:t>
  </x:si>
  <x:si>
    <x:t xml:space="preserve">Số hành khách khác số ghế</x:t>
  </x:si>
  <x:si>
    <x:t xml:space="preserve">1. POST /bookings với số passengers ≠ số ghế trong SeatHold</x:t>
  </x:si>
  <x:si>
    <x:t xml:space="preserve">400 VALIDATION_ERROR; không tạo booking, SeatHold không bị sử dụng (AC-BOOK-004).</x:t>
  </x:si>
  <x:si>
    <x:t xml:space="preserve">Customer đã đăng nhập (có accessToken). Có SeatHold ACTIVE 2 ghế.</x:t>
  </x:si>
  <x:si>
    <x:t xml:space="preserve">BOOK-15</x:t>
  </x:si>
  <x:si>
    <x:t xml:space="preserve">Thiếu thông tin bắt buộc của hành khách</x:t>
  </x:si>
  <x:si>
    <x:t xml:space="preserve">1. POST /bookings với passenger thiếu họ tên/SĐT (theo chính sách chuyến)</x:t>
  </x:si>
  <x:si>
    <x:t xml:space="preserve">400 VALIDATION_ERROR kèm field lỗi; không tạo booking.</x:t>
  </x:si>
  <x:si>
    <x:t xml:space="preserve">BOOK-16</x:t>
  </x:si>
  <x:si>
    <x:t xml:space="preserve">Tạo booking từ SeatHold đã hết hạn</x:t>
  </x:si>
  <x:si>
    <x:t xml:space="preserve">1. Chờ SeatHold quá expiresAt
2. POST /bookings {holdId}</x:t>
  </x:si>
  <x:si>
    <x:t xml:space="preserve">410 SEAT_HOLD_EXPIRED; không tạo booking; ghế hợp lệ được giải phóng (AC-SEAT-003).</x:t>
  </x:si>
  <x:si>
    <x:t xml:space="preserve">SeatHold đã quá hạn.</x:t>
  </x:si>
  <x:si>
    <x:t xml:space="preserve">BOOK-17</x:t>
  </x:si>
  <x:si>
    <x:t xml:space="preserve">Dùng SeatHold của người khác / dùng 1 SeatHold cho 2 booking</x:t>
  </x:si>
  <x:si>
    <x:t xml:space="preserve">1. Customer 2 POST /bookings với holdId của Customer 1
2. Customer 1 tạo booking lần 1 rồi lần 2 (key khác) cùng holdId</x:t>
  </x:si>
  <x:si>
    <x:t xml:space="preserve">Trường hợp 1: 403/404, không lộ dữ liệu. Trường hợp 2: lần 2 bị từ chối (BR-BOOK-002).</x:t>
  </x:si>
  <x:si>
    <x:t xml:space="preserve">Có SeatHold của Customer 1.</x:t>
  </x:si>
  <x:si>
    <x:t xml:space="preserve">BOOK-18</x:t>
  </x:si>
  <x:si>
    <x:t xml:space="preserve">Tạo booking PAY_LATER khi nhà xe bật trả sau</x:t>
  </x:si>
  <x:si>
    <x:t xml:space="preserve">1. POST /bookings {paymentChannel:PAY_LATER}
2. Kiểm tra booking, vé, ghế, payment</x:t>
  </x:si>
  <x:si>
    <x:t xml:space="preserve">Booking CONFIRMED; mỗi mục 1 vé PAY_LATER; ghế BOOKED; không tạo thanh toán qua cổng (AC-BOOK-007, FR-BOOK-012).</x:t>
  </x:si>
  <x:si>
    <x:t xml:space="preserve">Nhà xe bật cho phép trả sau; SeatHold còn hạn.</x:t>
  </x:si>
  <x:si>
    <x:t xml:space="preserve">BOOK-19</x:t>
  </x:si>
  <x:si>
    <x:t xml:space="preserve">Tạo booking PAY_LATER khi nhà xe tắt trả sau</x:t>
  </x:si>
  <x:si>
    <x:t xml:space="preserve">1. POST /bookings {paymentChannel:PAY_LATER}</x:t>
  </x:si>
  <x:si>
    <x:t xml:space="preserve">409 PAY_LATER_NOT_ALLOWED; không tạo booking, SeatHold không bị sử dụng (AC-BOOK-006).</x:t>
  </x:si>
  <x:si>
    <x:t xml:space="preserve">Nhà xe tắt trả sau.</x:t>
  </x:si>
  <x:si>
    <x:t xml:space="preserve">BOOK-20</x:t>
  </x:si>
  <x:si>
    <x:t xml:space="preserve">paymentChannel không hợp lệ</x:t>
  </x:si>
  <x:si>
    <x:t xml:space="preserve">1. POST /bookings {paymentChannel:"COD"}</x:t>
  </x:si>
  <x:si>
    <x:t xml:space="preserve">400 VALIDATION_ERROR; chỉ chấp nhận PREPAID hoặc PAY_LATER (BR-BOOK-011).</x:t>
  </x:si>
  <x:si>
    <x:t xml:space="preserve">BOOK-21</x:t>
  </x:si>
  <x:si>
    <x:t xml:space="preserve">Booking PREPAID quá hạn thanh toán chuyển EXPIRED</x:t>
  </x:si>
  <x:si>
    <x:t xml:space="preserve">1. Tạo booking PREPAID, không thanh toán
2. Chờ quá hạn
3. GET /bookings/{id}
4. GET seats</x:t>
  </x:si>
  <x:si>
    <x:t xml:space="preserve">Booking EXPIRED; ghế được giải phóng về AVAILABLE (BR-BOOK-007, FR-BOOK-007).</x:t>
  </x:si>
  <x:si>
    <x:t xml:space="preserve">Có booking PENDING_PAYMENT; biết thời hạn cấu hình.</x:t>
  </x:si>
  <x:si>
    <x:t xml:space="preserve">BOOK-22</x:t>
  </x:si>
  <x:si>
    <x:t xml:space="preserve">Xem danh sách đơn/vé của chính mình</x:t>
  </x:si>
  <x:si>
    <x:t xml:space="preserve">1. GET /bookings/my (lọc theo trạng thái: sắp đi, đã dùng, đã hủy, đã hoàn tiền)</x:t>
  </x:si>
  <x:si>
    <x:t xml:space="preserve">200; chỉ trả booking/vé của Customer đang đăng nhập, đúng theo bộ lọc.</x:t>
  </x:si>
  <x:si>
    <x:t xml:space="preserve">Customer đã đăng nhập (có accessToken). Có nhiều booking.</x:t>
  </x:si>
  <x:si>
    <x:t xml:space="preserve">BOOK-23</x:t>
  </x:si>
  <x:si>
    <x:t xml:space="preserve">Xem booking của khách khác khi biết mã</x:t>
  </x:si>
  <x:si>
    <x:t xml:space="preserve">1. Customer A GET /bookings/{bookingId của B}</x:t>
  </x:si>
  <x:si>
    <x:t xml:space="preserve">Bị từ chối (403/404), không lộ dữ liệu của B (AC-BOOK-005, AUTHZ-004).</x:t>
  </x:si>
  <x:si>
    <x:t xml:space="preserve">Có booking của Customer B.</x:t>
  </x:si>
  <x:si>
    <x:t xml:space="preserve">BOOK-24</x:t>
  </x:si>
  <x:si>
    <x:t xml:space="preserve">Xem booking không tồn tại</x:t>
  </x:si>
  <x:si>
    <x:t xml:space="preserve">1. GET /bookings/{id không tồn tại}</x:t>
  </x:si>
  <x:si>
    <x:t xml:space="preserve">404 RESOURCE_NOT_FOUND.</x:t>
  </x:si>
  <x:si>
    <x:t xml:space="preserve">CAN-01</x:t>
  </x:si>
  <x:si>
    <x:t xml:space="preserve">Xem trước hủy vé PREPAID</x:t>
  </x:si>
  <x:si>
    <x:t xml:space="preserve">1. POST /tickets/{id}/cancel-preview</x:t>
  </x:si>
  <x:si>
    <x:t xml:space="preserve">200; có phiên bản chính sách, phí hủy, số tiền hoàn trước khi xác nhận (AC-CANCEL-001, BR-CANCEL-002).</x:t>
  </x:si>
  <x:si>
    <x:t xml:space="preserve">Có booking PREPAID đã PAID, vé ISSUED.</x:t>
  </x:si>
  <x:si>
    <x:t xml:space="preserve">CAN-02</x:t>
  </x:si>
  <x:si>
    <x:t xml:space="preserve">Xác nhận hủy vé PREPAID</x:t>
  </x:si>
  <x:si>
    <x:t xml:space="preserve">1. POST /tickets/{id}/cancel + Idempotency-Key
2. GET ticket, booking, refund, seats</x:t>
  </x:si>
  <x:si>
    <x:t xml:space="preserve">Vé CANCELLED; tạo refund; booking CANCELLED → REFUND_PENDING; ghế về AVAILABLE nếu chuyến còn cho bán (BR-CANCEL-005).</x:t>
  </x:si>
  <x:si>
    <x:t xml:space="preserve">CAN-03</x:t>
  </x:si>
  <x:si>
    <x:t xml:space="preserve">Hủy vé PAY_LATER không hoàn tiền qua cổng</x:t>
  </x:si>
  <x:si>
    <x:t xml:space="preserve">1. POST cancel-preview cho vé PAY_LATER
2. POST cancel xác nhận</x:t>
  </x:si>
  <x:si>
    <x:t xml:space="preserve">Số tiền hoàn = 0; vé/booking CANCELLED; không tạo refund qua cổng (FR-BOOK-009, FR-PAY-011).</x:t>
  </x:si>
  <x:si>
    <x:t xml:space="preserve">Có booking PAY_LATER CONFIRMED.</x:t>
  </x:si>
  <x:si>
    <x:t xml:space="preserve">CAN-04</x:t>
  </x:si>
  <x:si>
    <x:t xml:space="preserve">Gửi lặp lệnh hủy cùng key</x:t>
  </x:si>
  <x:si>
    <x:t xml:space="preserve">1. POST cancel (key K)
2. Gửi lại cùng key K
3. Đếm refund</x:t>
  </x:si>
  <x:si>
    <x:t xml:space="preserve">Không tạo refund thứ hai (AC-CANCEL-002).</x:t>
  </x:si>
  <x:si>
    <x:t xml:space="preserve">CAN-05</x:t>
  </x:si>
  <x:si>
    <x:t xml:space="preserve">Hủy vé không đủ điều kiện (CHECKED_IN/USED/sau giờ khởi hành)</x:t>
  </x:si>
  <x:si>
    <x:t xml:space="preserve">1. POST cancel với vé CHECKED_IN
2. POST cancel với vé USED
3. POST cancel khi đã quá giờ khởi hành</x:t>
  </x:si>
  <x:si>
    <x:t xml:space="preserve">422 CANCELLATION_NOT_ALLOWED kèm lý do + policy snapshot; vé và thanh toán không đổi (AC-CANCEL-003, BR-CANCEL-003/004).</x:t>
  </x:si>
  <x:si>
    <x:t xml:space="preserve">Có vé CHECKED_IN, USED và chuyến đã khởi hành.</x:t>
  </x:si>
  <x:si>
    <x:t xml:space="preserve">CAN-06</x:t>
  </x:si>
  <x:si>
    <x:t xml:space="preserve">Hủy lại vé đã CANCELLED/REFUNDED</x:t>
  </x:si>
  <x:si>
    <x:t xml:space="preserve">1. POST cancel với vé đã CANCELLED
2. POST cancel với vé đã REFUNDED</x:t>
  </x:si>
  <x:si>
    <x:t xml:space="preserve">Bị từ chối (409 INVALID_STATE_TRANSITION hoặc 422); giữ nguyên trạng thái cũ.</x:t>
  </x:si>
  <x:si>
    <x:t xml:space="preserve">Có vé CANCELLED và vé REFUNDED.</x:t>
  </x:si>
  <x:si>
    <x:t xml:space="preserve">CAN-07</x:t>
  </x:si>
  <x:si>
    <x:t xml:space="preserve">Nhà cung cấp hoàn tiền lỗi sau khi hủy vé</x:t>
  </x:si>
  <x:si>
    <x:t xml:space="preserve">1. Cấu hình cổng mock trả lỗi refund
2. POST cancel vé PREPAID
3. GET ticket, refund</x:t>
  </x:si>
  <x:si>
    <x:t xml:space="preserve">Vé vẫn CANCELLED; refund chuyển FAILED hoặc PROCESSING để thử lại/xử lý thủ công (AC-CANCEL-004).</x:t>
  </x:si>
  <x:si>
    <x:t xml:space="preserve">Có booking PREPAID đã PAID, vé ISSUED. Cổng mock lỗi refund.</x:t>
  </x:si>
  <x:si>
    <x:t xml:space="preserve">CAN-08</x:t>
  </x:si>
  <x:si>
    <x:t xml:space="preserve">Tổng hoàn không vượt số đã thu và đảo phí sàn</x:t>
  </x:si>
  <x:si>
    <x:t xml:space="preserve">1. Hoàn tiền một phần rồi toàn bộ
2. Yêu cầu hoàn vượt số đã thu
3. GET settlement</x:t>
  </x:si>
  <x:si>
    <x:t xml:space="preserve">Tổng refund thành công ≤ số đã thanh toán; phí sàn/công nợ nhà xe được đảo tương ứng (AC-PAY-009, BR-PAY-007/013).</x:t>
  </x:si>
  <x:si>
    <x:t xml:space="preserve">CAN-09</x:t>
  </x:si>
  <x:si>
    <x:t xml:space="preserve">Hủy vé của khách khác</x:t>
  </x:si>
  <x:si>
    <x:t xml:space="preserve">1. Customer A POST /tickets/{id của B}/cancel</x:t>
  </x:si>
  <x:si>
    <x:t xml:space="preserve">403 ACCESS_DENIED / 404; vé của B không đổi (AUTHZ-004).</x:t>
  </x:si>
  <x:si>
    <x:t xml:space="preserve">Có vé của Customer B.</x:t>
  </x:si>
  <x:si>
    <x:t xml:space="preserve">CHG-01</x:t>
  </x:si>
  <x:si>
    <x:t xml:space="preserve">Đổi vé thành công khi giữ được ghế mới</x:t>
  </x:si>
  <x:si>
    <x:t xml:space="preserve">1. POST /tickets/{id}/change {tripId mới, seatIds mới}
2. Xác nhận phần chênh lệch giá
3. GET vé cũ, vé mới</x:t>
  </x:si>
  <x:si>
    <x:t xml:space="preserve">Vé mới ISSUED, vé cũ CANCELLED; không tồn tại 2 vé cùng hiệu lực (AC-CHANGE-002).</x:t>
  </x:si>
  <x:si>
    <x:t xml:space="preserve">Có booking PREPAID đã PAID, vé ISSUED. Có ghế mới AVAILABLE.</x:t>
  </x:si>
  <x:si>
    <x:t xml:space="preserve">CHG-02</x:t>
  </x:si>
  <x:si>
    <x:t xml:space="preserve">Đổi vé khi không giữ được ghế mới</x:t>
  </x:si>
  <x:si>
    <x:t xml:space="preserve">1. POST change với ghế mới đã HELD/BOOKED
2. GET vé cũ</x:t>
  </x:si>
  <x:si>
    <x:t xml:space="preserve">Đổi vé thất bại; vé cũ vẫn ISSUED và không phát sinh khoản thu (AC-CHANGE-001, BR-CANCEL-006).</x:t>
  </x:si>
  <x:si>
    <x:t xml:space="preserve">CHG-03</x:t>
  </x:si>
  <x:si>
    <x:t xml:space="preserve">Đổi vé không đủ điều kiện</x:t>
  </x:si>
  <x:si>
    <x:t xml:space="preserve">1. POST change với vé CHECKED_IN hoặc đã quá giờ đổi</x:t>
  </x:si>
  <x:si>
    <x:t xml:space="preserve">Bị từ chối kèm lý do; vé không đổi.</x:t>
  </x:si>
  <x:si>
    <x:t xml:space="preserve">Có vé CHECKED_IN.</x:t>
  </x:si>
  <x:si>
    <x:t xml:space="preserve">TKT-01</x:t>
  </x:si>
  <x:si>
    <x:t xml:space="preserve">Xem vé của mình có đủ thông tin</x:t>
  </x:si>
  <x:si>
    <x:t xml:space="preserve">1. GET /tickets/{id}</x:t>
  </x:si>
  <x:si>
    <x:t xml:space="preserve">200; có mã vé công khai, hành khách, nhà xe, chuyến, điểm đón/trả, ghế, giá, paymentChannel, trạng thái và mã QR (AC-TICKET-002).</x:t>
  </x:si>
  <x:si>
    <x:t xml:space="preserve">TKT-02</x:t>
  </x:si>
  <x:si>
    <x:t xml:space="preserve">Mỗi mục đặt chỗ có đúng 1 vé, không trùng</x:t>
  </x:si>
  <x:si>
    <x:t xml:space="preserve">1. Thanh toán booking nhiều ghế
2. GET /bookings/{id}/tickets</x:t>
  </x:si>
  <x:si>
    <x:t xml:space="preserve">Số vé = số mục đặt chỗ; mỗi mục đúng 1 vé; vé ghi paymentChannel (AC-TICKET-001).</x:t>
  </x:si>
  <x:si>
    <x:t xml:space="preserve">Booking PAID/CONFIRMED có nhiều ghế.</x:t>
  </x:si>
  <x:si>
    <x:t xml:space="preserve">TKT-03</x:t>
  </x:si>
  <x:si>
    <x:t xml:space="preserve">Mã QR không chứa thông tin cá nhân dạng rõ</x:t>
  </x:si>
  <x:si>
    <x:t xml:space="preserve">1. Lấy QR token từ vé
2. Giải mã/phân tích nội dung
3. So sánh nhiều vé</x:t>
  </x:si>
  <x:si>
    <x:t xml:space="preserve">QR là token ngẫu nhiên hoặc có chữ ký, khó đoán; không chứa PII dạng rõ (FR-TICKET-003, BR-TICKET-001).</x:t>
  </x:si>
  <x:si>
    <x:t xml:space="preserve">TKT-04</x:t>
  </x:si>
  <x:si>
    <x:t xml:space="preserve">Xem vé của khách khác</x:t>
  </x:si>
  <x:si>
    <x:t xml:space="preserve">1. Customer A GET /tickets/{id của B}</x:t>
  </x:si>
  <x:si>
    <x:t xml:space="preserve">403/404; không lộ dữ liệu của B.</x:t>
  </x:si>
  <x:si>
    <x:t xml:space="preserve">TKT-05</x:t>
  </x:si>
  <x:si>
    <x:t xml:space="preserve">Tài xế được phân công check-in vé hợp lệ</x:t>
  </x:si>
  <x:si>
    <x:t xml:space="preserve">1. POST /checkin {ticketCode/qrToken, tripId=T1}
2. GET ticket</x:t>
  </x:si>
  <x:si>
    <x:t xml:space="preserve">200; vé CHECKED_IN; nhật ký kiểm toán ghi người thao tác, thời điểm, chuyến và kết quả (AC-TICKET-003, FR-TICKET-006).</x:t>
  </x:si>
  <x:si>
    <x:t xml:space="preserve">TKT-06</x:t>
  </x:si>
  <x:si>
    <x:t xml:space="preserve">Check-in vé thuộc chuyến khác</x:t>
  </x:si>
  <x:si>
    <x:t xml:space="preserve">1. POST /checkin với vé của chuyến A trong chuyến B</x:t>
  </x:si>
  <x:si>
    <x:t xml:space="preserve">422 TICKET_NOT_VALID_FOR_TRIP; vé không đổi (AC-TICKET-004).</x:t>
  </x:si>
  <x:si>
    <x:t xml:space="preserve">Có vé của chuyến A; tài xế được phân công chuyến B.</x:t>
  </x:si>
  <x:si>
    <x:t xml:space="preserve">TKT-07</x:t>
  </x:si>
  <x:si>
    <x:t xml:space="preserve">Quét lặp vé đã check-in</x:t>
  </x:si>
  <x:si>
    <x:t xml:space="preserve">1. POST /checkin lần 1
2. POST /checkin lần 2 cùng vé</x:t>
  </x:si>
  <x:si>
    <x:t xml:space="preserve">409 TICKET_ALREADY_CHECKED_IN, trả thời điểm check-in trước; không tạo check-in thứ hai (AC-TICKET-005, BR-TICKET-003).</x:t>
  </x:si>
  <x:si>
    <x:t xml:space="preserve">Có vé ISSUED của T1.</x:t>
  </x:si>
  <x:si>
    <x:t xml:space="preserve">TKT-08</x:t>
  </x:si>
  <x:si>
    <x:t xml:space="preserve">Check-in vé đã hủy / đã hoàn tiền</x:t>
  </x:si>
  <x:si>
    <x:t xml:space="preserve">1. POST /checkin với vé CANCELLED
2. POST /checkin với vé REFUNDED</x:t>
  </x:si>
  <x:si>
    <x:t xml:space="preserve">Bị từ chối kèm lý do rõ ràng; vé không đổi (FR-TICKET-005, BR-TICKET-002).</x:t>
  </x:si>
  <x:si>
    <x:t xml:space="preserve">TKT-09</x:t>
  </x:si>
  <x:si>
    <x:t xml:space="preserve">Check-in bởi người không có quyền / tài xế không được phân công</x:t>
  </x:si>
  <x:si>
    <x:t xml:space="preserve">1. Driver không được phân công T1 POST /checkin
2. Customer POST /checkin</x:t>
  </x:si>
  <x:si>
    <x:t xml:space="preserve">403 ACCESS_DENIED; không check-in, không lộ thông tin cá nhân (AUTHZ-005, AC-OPS-005).</x:t>
  </x:si>
  <x:si>
    <x:t xml:space="preserve">TKT-10</x:t>
  </x:si>
  <x:si>
    <x:t xml:space="preserve">Mã vé không tồn tại</x:t>
  </x:si>
  <x:si>
    <x:t xml:space="preserve">1. POST /checkin {ticketCode không tồn tại}</x:t>
  </x:si>
  <x:si>
    <x:t xml:space="preserve">PROMO-01</x:t>
  </x:si>
  <x:si>
    <x:t xml:space="preserve">Tạo khuyến mãi hợp lệ</x:t>
  </x:si>
  <x:si>
    <x:t xml:space="preserve">1. POST /promotions {scope, startAt, endAt, quota, điều kiện}</x:t>
  </x:si>
  <x:si>
    <x:t xml:space="preserve">201; khuyến mãi được tạo đúng phạm vi, thời hạn, hạn mức.</x:t>
  </x:si>
  <x:si>
    <x:t xml:space="preserve">PROMO-02</x:t>
  </x:si>
  <x:si>
    <x:t xml:space="preserve">Áp dụng khuyến mãi hợp lệ khi đặt chỗ</x:t>
  </x:si>
  <x:si>
    <x:t xml:space="preserve">1. POST /bookings kèm promoCode
2. Kiểm tra giảm giá và lượt dùng</x:t>
  </x:si>
  <x:si>
    <x:t xml:space="preserve">Server tính đúng giảm giá; lưu bản chụp giảm giá và lượt sử dụng (AC-PROMO-001).</x:t>
  </x:si>
  <x:si>
    <x:t xml:space="preserve">Customer đã đăng nhập (có accessToken). Có SeatHold; promo còn hạn.</x:t>
  </x:si>
  <x:si>
    <x:t xml:space="preserve">PROMO-03</x:t>
  </x:si>
  <x:si>
    <x:t xml:space="preserve">Áp dụng khuyến mãi hết hạn / hết hạn mức / sai phạm vi</x:t>
  </x:si>
  <x:si>
    <x:t xml:space="preserve">1. POST /bookings với promo hết hạn
2. Với promo hết quota
3. Với promo sai phạm vi</x:t>
  </x:si>
  <x:si>
    <x:t xml:space="preserve">Bị từ chối; không giảm giá (FR-PROMO-002).</x:t>
  </x:si>
  <x:si>
    <x:t xml:space="preserve">PROMO-04</x:t>
  </x:si>
  <x:si>
    <x:t xml:space="preserve">Hai đơn áp dụng đồng thời khi quota còn 1</x:t>
  </x:si>
  <x:si>
    <x:t xml:space="preserve">1. Gửi đồng thời 2 POST /bookings cùng promoCode (quota còn 1)</x:t>
  </x:si>
  <x:si>
    <x:t xml:space="preserve">Không có số lượt dùng thành công nào vượt hạn mức (AC-PROMO-002).</x:t>
  </x:si>
  <x:si>
    <x:t xml:space="preserve">Promo còn quota = 1; 2 SeatHold hợp lệ.</x:t>
  </x:si>
  <x:si>
    <x:t xml:space="preserve">REVIEW-01</x:t>
  </x:si>
  <x:si>
    <x:t xml:space="preserve">Tạo đánh giá cho vé đã USED</x:t>
  </x:si>
  <x:si>
    <x:t xml:space="preserve">1. POST /reviews {ticketId, rating, comment}</x:t>
  </x:si>
  <x:si>
    <x:t xml:space="preserve">201; tạo đúng 1 đánh giá gắn với vé (AC-REVIEW-001).</x:t>
  </x:si>
  <x:si>
    <x:t xml:space="preserve">Customer sở hữu vé USED chưa đánh giá.</x:t>
  </x:si>
  <x:si>
    <x:t xml:space="preserve">REVIEW-02</x:t>
  </x:si>
  <x:si>
    <x:t xml:space="preserve">Đánh giá vé chưa USED hoặc không thuộc mình</x:t>
  </x:si>
  <x:si>
    <x:t xml:space="preserve">1. POST /reviews với vé ISSUED
2. POST /reviews với vé của khách khác</x:t>
  </x:si>
  <x:si>
    <x:t xml:space="preserve">Bị từ chối; không tạo đánh giá (AC-REVIEW-002).</x:t>
  </x:si>
  <x:si>
    <x:t xml:space="preserve">REVIEW-03</x:t>
  </x:si>
  <x:si>
    <x:t xml:space="preserve">Đánh giá lần 2 cho cùng vé</x:t>
  </x:si>
  <x:si>
    <x:t xml:space="preserve">1. POST /reviews lần 2 với cùng ticketId</x:t>
  </x:si>
  <x:si>
    <x:t xml:space="preserve">Bị từ chối; mỗi vé USED chỉ đánh giá tối đa 1 lần (BR-REVIEW-001).</x:t>
  </x:si>
  <x:si>
    <x:t xml:space="preserve">Vé USED đã có đánh giá.</x:t>
  </x:si>
  <x:si>
    <x:t xml:space="preserve">REVIEW-04</x:t>
  </x:si>
  <x:si>
    <x:t xml:space="preserve">Ẩn đánh giá vi phạm có lý do</x:t>
  </x:si>
  <x:si>
    <x:t xml:space="preserve">1. PATCH /reviews/{id}/hide {reason} bởi Admin
2. PATCH hide không có reason</x:t>
  </x:si>
  <x:si>
    <x:t xml:space="preserve">Có lý do: đánh giá bị ẩn, giữ lịch sử, người kiểm duyệt, lý do, thời điểm (AC-REVIEW-003). Thiếu lý do: 400.</x:t>
  </x:si>
  <x:si>
    <x:t xml:space="preserve">Payment Service</x:t>
  </x:si>
  <x:si>
    <x:t xml:space="preserve">FR-PAY-001..007/012/013, BR-PAY-001..014, AC-PAY-001..008, NFR-PERF-005: payment intent, webhook, settlement.</x:t>
  </x:si>
  <x:si>
    <x:t xml:space="preserve">PAY-01</x:t>
  </x:si>
  <x:si>
    <x:t xml:space="preserve">Tạo payment intent cho booking PREPAID hợp lệ</x:t>
  </x:si>
  <x:si>
    <x:t xml:space="preserve">1. POST /payments {bookingId} + Idempotency-Key</x:t>
  </x:si>
  <x:si>
    <x:t xml:space="preserve">201; payment ở PENDING/PROCESSING; trả paymentUrl; request gửi cổng có mã tham chiếu duy nhất, số tiền, tiền tệ, callback.</x:t>
  </x:si>
  <x:si>
    <x:t xml:space="preserve">Có booking PREPAID ở PENDING_PAYMENT (còn hạn) của Customer.</x:t>
  </x:si>
  <x:si>
    <x:t xml:space="preserve">PAY-02</x:t>
  </x:si>
  <x:si>
    <x:t xml:space="preserve">Tạo payment cho booking PAY_LATER</x:t>
  </x:si>
  <x:si>
    <x:t xml:space="preserve">1. POST /payments {bookingId của đơn PAY_LATER}</x:t>
  </x:si>
  <x:si>
    <x:t xml:space="preserve">Bị từ chối; không tạo thanh toán qua cổng (AC-PAY-007).</x:t>
  </x:si>
  <x:si>
    <x:t xml:space="preserve">PAY-03</x:t>
  </x:si>
  <x:si>
    <x:t xml:space="preserve">Tạo payment cho booking đã hết hạn</x:t>
  </x:si>
  <x:si>
    <x:t xml:space="preserve">1. POST /payments {bookingId EXPIRED}</x:t>
  </x:si>
  <x:si>
    <x:t xml:space="preserve">410 BOOKING_EXPIRED; không tạo Payment mới.</x:t>
  </x:si>
  <x:si>
    <x:t xml:space="preserve">Có booking EXPIRED.</x:t>
  </x:si>
  <x:si>
    <x:t xml:space="preserve">PAY-04</x:t>
  </x:si>
  <x:si>
    <x:t xml:space="preserve">Tạo payment cho booking của khách khác</x:t>
  </x:si>
  <x:si>
    <x:t xml:space="preserve">1. Customer A POST /payments {bookingId của B}</x:t>
  </x:si>
  <x:si>
    <x:t xml:space="preserve">403 ACCESS_DENIED / 404; không lộ dữ liệu.</x:t>
  </x:si>
  <x:si>
    <x:t xml:space="preserve">Có booking PREPAID của Customer B.</x:t>
  </x:si>
  <x:si>
    <x:t xml:space="preserve">PAY-05</x:t>
  </x:si>
  <x:si>
    <x:t xml:space="preserve">Webhook thành công hợp lệ</x:t>
  </x:si>
  <x:si>
    <x:t xml:space="preserve">1. POST /payments/webhook (chữ ký đúng, số tiền + tiền tệ khớp)
2. GET booking, seats, tickets</x:t>
  </x:si>
  <x:si>
    <x:t xml:space="preserve">200 trong ≤ 2s (p95); Payment SUCCEEDED, booking PAID, ghế BOOKED, mỗi mục 1 vé (AC-PAY-001, NFR-PERF-005).</x:t>
  </x:si>
  <x:si>
    <x:t xml:space="preserve">Có booking PREPAID ở PENDING_PAYMENT (còn hạn) của Customer. Đã tạo payment.</x:t>
  </x:si>
  <x:si>
    <x:t xml:space="preserve">PAY-06</x:t>
  </x:si>
  <x:si>
    <x:t xml:space="preserve">Webhook gửi lặp</x:t>
  </x:si>
  <x:si>
    <x:t xml:space="preserve">1. POST cùng webhook (cùng mã sự kiện) nhiều lần
2. Đếm payment và vé</x:t>
  </x:si>
  <x:si>
    <x:t xml:space="preserve">Chỉ có 1 payment thành công và 1 bộ vé; lần gửi lặp không tạo thay đổi thứ hai (AC-PAY-002, BR-PAY-003).</x:t>
  </x:si>
  <x:si>
    <x:t xml:space="preserve">PAY-07</x:t>
  </x:si>
  <x:si>
    <x:t xml:space="preserve">Webhook sai chữ ký</x:t>
  </x:si>
  <x:si>
    <x:t xml:space="preserve">1. POST /payments/webhook với chữ ký sai/thiếu</x:t>
  </x:si>
  <x:si>
    <x:t xml:space="preserve">Bị từ chối; booking không PAID, không có vé; ghi log bảo mật an toàn (BR-PAY-005).</x:t>
  </x:si>
  <x:si>
    <x:t xml:space="preserve">PAY-08</x:t>
  </x:si>
  <x:si>
    <x:t xml:space="preserve">Webhook sai số tiền hoặc sai loại tiền tệ</x:t>
  </x:si>
  <x:si>
    <x:t xml:space="preserve">1. POST webhook với amount khác payment intent
2. POST webhook với currency khác</x:t>
  </x:si>
  <x:si>
    <x:t xml:space="preserve">422 PAYMENT_VERIFICATION_FAILED; booking không PAID, không tạo vé; có hồ sơ đối soát/bảo mật (AC-PAY-003, BR-PAY-004).</x:t>
  </x:si>
  <x:si>
    <x:t xml:space="preserve">PAY-09</x:t>
  </x:si>
  <x:si>
    <x:t xml:space="preserve">Webhook thanh toán thất bại / bị hủy</x:t>
  </x:si>
  <x:si>
    <x:t xml:space="preserve">1. POST webhook trạng thái FAILED
2. POST webhook trạng thái CANCELLED</x:t>
  </x:si>
  <x:si>
    <x:t xml:space="preserve">Booking không chuyển PAID; không phát hành vé (AC-PAY-006); ghế giữ đến hết hạn hoặc giải phóng theo quy tắc.</x:t>
  </x:si>
  <x:si>
    <x:t xml:space="preserve">PAY-10</x:t>
  </x:si>
  <x:si>
    <x:t xml:space="preserve">Webhook thành công đến trễ khi ghế đã thuộc đơn khác</x:t>
  </x:si>
  <x:si>
    <x:t xml:space="preserve">1. Để booking hết hạn, ghế được đơn khác mua
2. POST webhook thành công cho payment cũ</x:t>
  </x:si>
  <x:si>
    <x:t xml:space="preserve">Không bán trùng ghế; tạo hoàn tiền bù trừ hoặc hồ sơ xử lý thủ công (AC-PAY-004, BR-PAY-006).</x:t>
  </x:si>
  <x:si>
    <x:t xml:space="preserve">Booking đã EXPIRED, ghế đã BOOKED bởi đơn khác.</x:t>
  </x:si>
  <x:si>
    <x:t xml:space="preserve">PAY-11</x:t>
  </x:si>
  <x:si>
    <x:t xml:space="preserve">Xem trạng thái khi webhook chưa đến / chỉ có redirect</x:t>
  </x:si>
  <x:si>
    <x:t xml:space="preserve">1. Gọi return-callback từ cổng (không webhook)
2. GET /payments/{id}</x:t>
  </x:si>
  <x:si>
    <x:t xml:space="preserve">Trả PROCESSING (202 PAYMENT_PROCESSING), booking vẫn PENDING_PAYMENT; redirect không được coi là đã thanh toán (AC-PAY-005, BR-PAY-010).</x:t>
  </x:si>
  <x:si>
    <x:t xml:space="preserve">PAY-12</x:t>
  </x:si>
  <x:si>
    <x:t xml:space="preserve">Chốt phí sàn 10% khi PREPAID thành công</x:t>
  </x:si>
  <x:si>
    <x:t xml:space="preserve">1. Thanh toán PREPAID tổng 100000 (phí sàn nhà xe 10%)
2. GET settlement của booking</x:t>
  </x:si>
  <x:si>
    <x:t xml:space="preserve">Phí sàn 10000; nhà xe thực nhận (operator_net) 90000; trạng thái thu COLLECTED (AC-PAY-008).</x:t>
  </x:si>
  <x:si>
    <x:t xml:space="preserve">Nhà xe có phí sàn 10%; booking PAID 100000.</x:t>
  </x:si>
  <x:si>
    <x:t xml:space="preserve">PAY-13</x:t>
  </x:si>
  <x:si>
    <x:t xml:space="preserve">Không lưu/không trả số thẻ (PAN) và CVV</x:t>
  </x:si>
  <x:si>
    <x:t xml:space="preserve">1. Thực hiện thanh toán
2. GET /payments/{id}, kiểm tra toàn bộ response</x:t>
  </x:si>
  <x:si>
    <x:t xml:space="preserve">Response không chứa PAN/CVV; chỉ có token/mã tham chiếu (BR-PAY-009).</x:t>
  </x:si>
  <x:si>
    <x:t xml:space="preserve">Notification Service</x:t>
  </x:si>
  <x:si>
    <x:t xml:space="preserve">FR-NOTIF-001..003 (SHOULD/MUST), AC-NOTIF-001/002: tạo thông báo theo sự kiện nghiệp vụ, cấu hình kênh, lỗi nhà cung cấp thông báo.</x:t>
  </x:si>
  <x:si>
    <x:t xml:space="preserve">NOTIF-01</x:t>
  </x:si>
  <x:si>
    <x:t xml:space="preserve">Tạo thông báo khi sự kiện nghiệp vụ xảy ra</x:t>
  </x:si>
  <x:si>
    <x:t xml:space="preserve">1. Thanh toán thành công booking
2. GET /notifications</x:t>
  </x:si>
  <x:si>
    <x:t xml:space="preserve">Có thông báo thanh toán/phát hành vé (FR-NOTIF-001); chỉ của chính người dùng.</x:t>
  </x:si>
  <x:si>
    <x:t xml:space="preserve">NOTIF-02</x:t>
  </x:si>
  <x:si>
    <x:t xml:space="preserve">Cấu hình kênh thông báo</x:t>
  </x:si>
  <x:si>
    <x:t xml:space="preserve">1. PUT /notifications/preferences tắt kênh tùy chọn
2. PUT tắt thông báo giao dịch thiết yếu</x:t>
  </x:si>
  <x:si>
    <x:t xml:space="preserve">Kênh tùy chọn được tắt; thông báo thiết yếu không thể tắt hoàn toàn (AC-NOTIF-002).</x:t>
  </x:si>
  <x:si>
    <x:t xml:space="preserve">NOTIF-03</x:t>
  </x:si>
  <x:si>
    <x:t xml:space="preserve">Nhà cung cấp thông báo lỗi không hoàn tác giao dịch</x:t>
  </x:si>
  <x:si>
    <x:t xml:space="preserve">1. Cấu hình provider mock lỗi
2. Thanh toán booking thành công
3. Kiểm tra booking, vé, hàng đợi retry</x:t>
  </x:si>
  <x:si>
    <x:t xml:space="preserve">Booking/thanh toán đã chốt không bị hoàn tác; thông báo được retry theo chính sách (AC-NOTIF-001, FR-NOTIF-002).</x:t>
  </x:si>
  <x:si>
    <x:t xml:space="preserve">Có booking PREPAID ở PENDING_PAYMENT (còn hạn) của Customer. Provider mock lỗi.</x:t>
  </x:si>
  <x:si>
    <x:t xml:space="preserve">Report Service</x:t>
  </x:si>
  <x:si>
    <x:t xml:space="preserve">FR-ADMIN-002/003, FR-REPORT-001..003, BR-AUDIT-001/002, AC-ADMIN-003/004, AC-REPORT-001/002: tra cứu giao dịch, kiểm toán, khiếu nại, báo cáo và xuất dữ liệu.</x:t>
  </x:si>
  <x:si>
    <x:t xml:space="preserve">ADM-06</x:t>
  </x:si>
  <x:si>
    <x:t xml:space="preserve">Tra cứu booking/payment/refund bằng mã</x:t>
  </x:si>
  <x:si>
    <x:t xml:space="preserve">1. GET /admin/transactions?code={bookingCode|paymentId|refundId}</x:t>
  </x:si>
  <x:si>
    <x:t xml:space="preserve">Liên kết được giao dịch và nhật ký kiểm toán; không có chức năng sửa lịch sử (AC-ADMIN-003).</x:t>
  </x:si>
  <x:si>
    <x:t xml:space="preserve">Admin đã đăng nhập. Có giao dịch mẫu.</x:t>
  </x:si>
  <x:si>
    <x:t xml:space="preserve">ADM-07</x:t>
  </x:si>
  <x:si>
    <x:t xml:space="preserve">Sửa/xóa bản ghi nhật ký kiểm toán</x:t>
  </x:si>
  <x:si>
    <x:t xml:space="preserve">1. PUT /admin/audit-logs/{id}
2. DELETE /admin/audit-logs/{id}</x:t>
  </x:si>
  <x:si>
    <x:t xml:space="preserve">Bị từ chối (405/403); audit chỉ thêm mới (BR-AUDIT-002).</x:t>
  </x:si>
  <x:si>
    <x:t xml:space="preserve">ADM-08</x:t>
  </x:si>
  <x:si>
    <x:t xml:space="preserve">Đóng khiếu nại thiếu kết quả xử lý (SHOULD)</x:t>
  </x:si>
  <x:si>
    <x:t xml:space="preserve">1. PATCH /admin/complaints/{id}/close không có resolution</x:t>
  </x:si>
  <x:si>
    <x:t xml:space="preserve">Bị từ chối; khiếu nại vẫn mở (AC-ADMIN-004).</x:t>
  </x:si>
  <x:si>
    <x:t xml:space="preserve">Admin đã đăng nhập. Có khiếu nại đang mở.</x:t>
  </x:si>
  <x:si>
    <x:t xml:space="preserve">REP-01</x:t>
  </x:si>
  <x:si>
    <x:t xml:space="preserve">Admin xem báo cáo theo khoảng thời gian</x:t>
  </x:si>
  <x:si>
    <x:t xml:space="preserve">1. GET /reports/summary?from=&amp;to=
2. Đối chiếu với dữ liệu giao dịch mẫu</x:t>
  </x:si>
  <x:si>
    <x:t xml:space="preserve">Trả tổng thu, thực nhận, phí sàn, số đơn, hoàn tiền, tỷ lệ lấp đầy; có định nghĩa chỉ số và múi giờ (FR-REPORT-001).</x:t>
  </x:si>
  <x:si>
    <x:t xml:space="preserve">Admin đã đăng nhập. Có dữ liệu giao dịch mẫu.</x:t>
  </x:si>
  <x:si>
    <x:t xml:space="preserve">REP-02</x:t>
  </x:si>
  <x:si>
    <x:t xml:space="preserve">Nhân viên tài chính nhà xe A chỉ thấy dữ liệu nhà xe A</x:t>
  </x:si>
  <x:si>
    <x:t xml:space="preserve">1. Finance Staff A GET /reports/summary
2. Thử truyền organizationId = B</x:t>
  </x:si>
  <x:si>
    <x:t xml:space="preserve">Chỉ có dữ liệu nhà xe A; tham số org B bị bỏ qua/từ chối; hiển thị chỉ số, múi giờ, độ mới dữ liệu (AC-REPORT-001).</x:t>
  </x:si>
  <x:si>
    <x:t xml:space="preserve">Finance Staff nhà xe A đã đăng nhập.</x:t>
  </x:si>
  <x:si>
    <x:t xml:space="preserve">REP-03</x:t>
  </x:si>
  <x:si>
    <x:t xml:space="preserve">Xuất báo cáo lớn bất đồng bộ (SHOULD)</x:t>
  </x:si>
  <x:si>
    <x:t xml:space="preserve">1. POST /reports/export (khoảng dữ liệu lớn)
2. GET trạng thái job
3. Tải file bằng user khác quyền</x:t>
  </x:si>
  <x:si>
    <x:t xml:space="preserve">Tạo export job, thông báo khi sẵn sàng; kiểm tra lại quyền khi tải, user không có quyền bị từ chối (AC-REPORT-002).</x:t>
  </x:si>
  <x:si>
    <x:t xml:space="preserve">REP-04</x:t>
  </x:si>
  <x:si>
    <x:t xml:space="preserve">Khoảng thời gian báo cáo không hợp lệ</x:t>
  </x:si>
  <x:si>
    <x:t xml:space="preserve">1. GET /reports/summary?from=2026-10-30&amp;to=2026-10-01</x:t>
  </x:si>
  <x:si>
    <x:t xml:space="preserve">400 VALIDATION_ERROR.</x:t>
  </x:si>
</x:sst>
</file>

<file path=xl/styles.xml><?xml version="1.0" encoding="utf-8"?>
<x:styleSheet xmlns:x="http://schemas.openxmlformats.org/spreadsheetml/2006/main">
  <x:numFmts count="12">
    <x:numFmt numFmtId="42" formatCode="_-&quot;£&quot;* #,##0_-;\-&quot;£&quot;* #,##0_-;_-&quot;£&quot;* &quot;-&quot;_-;_-@_-"/>
    <x:numFmt numFmtId="41" formatCode="_-* #,##0_-;\-* #,##0_-;_-* &quot;-&quot;_-;_-@_-"/>
    <x:numFmt numFmtId="44" formatCode="_-&quot;£&quot;* #,##0.00_-;\-&quot;£&quot;* #,##0.00_-;_-&quot;£&quot;* &quot;-&quot;??_-;_-@_-"/>
    <x:numFmt numFmtId="43" formatCode="_-* #,##0.00_-;\-* #,##0.00_-;_-* &quot;-&quot;??_-;_-@_-"/>
    <x:numFmt numFmtId="164" formatCode="d\-mmm\-yy;@"/>
    <x:numFmt numFmtId="165" formatCode="d\-mmm\-yy"/>
    <x:numFmt numFmtId="166" formatCode="yyyy\-mm\-dd\ h:mm:ss"/>
    <x:numFmt numFmtId="167" formatCode="yyyy\-mm\-dd"/>
    <x:numFmt numFmtId="200" formatCode="m/d/yy"/>
    <x:numFmt numFmtId="201" formatCode="yyyy-mm-dd"/>
    <x:numFmt numFmtId="202" formatCode="0.00%"/>
    <x:numFmt numFmtId="203" formatCode="yyyy-mm-dd hh:mm:ss"/>
  </x:numFmts>
  <x:fonts count="27">
    <x:font>
      <x:sz val="11"/>
      <x:name val="ＭＳ Ｐゴシック"/>
    </x:font>
    <x:font>
      <x:sz val="10"/>
      <x:name val="Arial"/>
    </x:font>
    <x:font>
      <x:sz val="9"/>
      <x:name val="ＭＳ ゴシック"/>
      <x:family val="3"/>
    </x:font>
    <x:font>
      <x:sz val="10"/>
      <x:name val="Tahoma"/>
      <x:family val="2"/>
    </x:font>
    <x:font>
      <x:b/>
      <x:sz val="26"/>
      <x:color rgb="FFFF0000"/>
      <x:name val="Tahoma"/>
      <x:family val="2"/>
    </x:font>
    <x:font>
      <x:b/>
      <x:sz val="20"/>
      <x:color rgb="FF000000"/>
      <x:name val="Tahoma"/>
      <x:family val="2"/>
    </x:font>
    <x:font>
      <x:b/>
      <x:sz val="10"/>
      <x:color rgb="FF993300"/>
      <x:name val="Tahoma"/>
      <x:family val="2"/>
    </x:font>
    <x:font>
      <x:i/>
      <x:sz val="10"/>
      <x:color rgb="FF008000"/>
      <x:name val="Tahoma"/>
      <x:family val="2"/>
    </x:font>
    <x:font>
      <x:b/>
      <x:sz val="10"/>
      <x:name val="Tahoma"/>
      <x:family val="2"/>
    </x:font>
    <x:font>
      <x:i/>
      <x:sz val="10"/>
      <x:name val="Tahoma"/>
      <x:family val="2"/>
    </x:font>
    <x:font>
      <x:b/>
      <x:sz val="10"/>
      <x:color rgb="FFFFFFFF"/>
      <x:name val="Tahoma"/>
      <x:family val="2"/>
    </x:font>
    <x:font>
      <x:b/>
      <x:sz val="10"/>
      <x:color rgb="FF000000"/>
      <x:name val="Tahoma"/>
      <x:family val="2"/>
    </x:font>
    <x:font>
      <x:b/>
      <x:sz val="10"/>
      <x:color rgb="FFFF0000"/>
      <x:name val="Tahoma"/>
      <x:family val="2"/>
    </x:font>
    <x:font>
      <x:sz val="10"/>
      <x:color rgb="FF0000FF"/>
      <x:name val="Tahoma"/>
      <x:family val="2"/>
    </x:font>
    <x:font>
      <x:sz val="10"/>
      <x:color rgb="FF000000"/>
      <x:name val="Tahoma"/>
    </x:font>
    <x:font>
      <x:sz val="10"/>
      <x:color rgb="FFFFFFFF"/>
      <x:name val="Tahoma"/>
      <x:family val="2"/>
    </x:font>
    <x:font>
      <x:b/>
      <x:sz val="10"/>
      <x:color rgb="FF0000FF"/>
      <x:name val="Tahoma"/>
      <x:family val="2"/>
    </x:font>
    <x:font>
      <x:sz val="10"/>
      <x:color rgb="FF000000"/>
      <x:name val="Tahoma"/>
      <x:family val="2"/>
    </x:font>
    <x:font>
      <x:sz val="10"/>
      <x:color rgb="FFFF0000"/>
      <x:name val="Tahoma"/>
      <x:family val="2"/>
    </x:font>
    <x:font>
      <x:b/>
      <x:i/>
      <x:sz val="10"/>
      <x:name val="Tahoma"/>
      <x:family val="2"/>
    </x:font>
    <x:font>
      <x:b/>
      <x:sz val="12"/>
      <x:name val="Tahoma"/>
      <x:family val="2"/>
    </x:font>
    <x:font>
      <x:b/>
      <x:sz val="10"/>
      <x:color rgb="FFFFFFFF"/>
      <x:name val="Arial"/>
      <x:family val="2"/>
    </x:font>
    <x:font>
      <x:b/>
      <x:sz val="16"/>
      <x:color rgb="FFFFFFFF"/>
      <x:name val="Arial"/>
    </x:font>
    <x:font>
      <x:b/>
      <x:sz val="11"/>
      <x:color rgb="FF17365D"/>
      <x:name val="Arial"/>
    </x:font>
    <x:font>
      <x:b/>
      <x:sz val="11"/>
      <x:color rgb="FF375623"/>
      <x:name val="Arial"/>
    </x:font>
    <x:font>
      <x:b/>
      <x:sz val="11"/>
      <x:color rgb="FFFFFFFF"/>
      <x:name val="Arial"/>
    </x:font>
    <x:font>
      <x:sz val="9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theme="6" tint="-0.24998"/>
      </x:patternFill>
    </x:fill>
    <x:fill>
      <x:patternFill patternType="solid">
        <x:fgColor rgb="FFCCFFFF"/>
      </x:patternFill>
    </x:fill>
    <x:fill>
      <x:patternFill patternType="solid">
        <x:fgColor rgb="FF0B1F6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4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medium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hair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</x:borders>
  <x:cellStyleXfs count="7">
    <x:xf numFmtId="0" fontId="0" fillId="0" borderId="0"/>
    <x:xf numFmtId="43" fontId="1" fillId="0" borderId="0"/>
    <x:xf numFmtId="41" fontId="1" fillId="0" borderId="0"/>
    <x:xf numFmtId="44" fontId="1" fillId="0" borderId="0"/>
    <x:xf numFmtId="42" fontId="1" fillId="0" borderId="0"/>
    <x:xf numFmtId="9" fontId="1" fillId="0" borderId="0"/>
    <x:xf numFmtId="0" fontId="2" fillId="0" borderId="0"/>
  </x:cellStyleXfs>
  <x:cellXfs count="176">
    <x:xf numFmtId="0" fontId="0" fillId="0" borderId="0" xfId="0"/>
    <x:xf numFmtId="0" fontId="3" fillId="0" borderId="0" xfId="0" applyFont="1" applyAlignment="1">
      <x:alignment horizontal="left"/>
    </x:xf>
    <x:xf numFmtId="0" fontId="3" fillId="0" borderId="0" xfId="0" applyFont="1"/>
    <x:xf numFmtId="0" fontId="4" fillId="0" borderId="1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6" fillId="2" borderId="0" xfId="0" applyFont="1" applyFill="1" applyAlignment="1">
      <x:alignment horizontal="left"/>
    </x:xf>
    <x:xf numFmtId="0" fontId="7" fillId="0" borderId="0" xfId="0" applyFont="1" applyAlignment="1">
      <x:alignment horizontal="left"/>
    </x:xf>
    <x:xf numFmtId="0" fontId="3" fillId="2" borderId="0" xfId="0" applyFont="1" applyFill="1"/>
    <x:xf numFmtId="0" fontId="8" fillId="2" borderId="2" xfId="0" applyFont="1" applyFill="1" applyBorder="1" applyAlignment="1">
      <x:alignment horizontal="left"/>
    </x:xf>
    <x:xf numFmtId="0" fontId="3" fillId="0" borderId="3" xfId="0" applyFont="1" applyBorder="1"/>
    <x:xf numFmtId="14" fontId="9" fillId="0" borderId="3" xfId="0" applyNumberFormat="1" applyFont="1" applyBorder="1"/>
    <x:xf numFmtId="0" fontId="8" fillId="2" borderId="2" xfId="0" applyFont="1" applyFill="1" applyBorder="1" applyAlignment="1">
      <x:alignment vertical="center"/>
    </x:xf>
    <x:xf numFmtId="0" fontId="9" fillId="0" borderId="3" xfId="0" applyFont="1" applyBorder="1" applyAlignment="1">
      <x:alignment horizontal="left"/>
    </x:xf>
    <x:xf numFmtId="0" fontId="8" fillId="0" borderId="0" xfId="0" applyFont="1"/>
    <x:xf numFmtId="0" fontId="6" fillId="0" borderId="0" xfId="0" applyFont="1" applyAlignment="1">
      <x:alignment horizontal="left"/>
    </x:xf>
    <x:xf numFmtId="0" fontId="3" fillId="0" borderId="0" xfId="0" applyFont="1" applyAlignment="1">
      <x:alignment vertical="center"/>
    </x:xf>
    <x:xf numFmtId="14" fontId="9" fillId="0" borderId="7" xfId="0" applyNumberFormat="1" applyFont="1" applyBorder="1" applyAlignment="1">
      <x:alignment vertical="top" wrapText="1"/>
    </x:xf>
    <x:xf numFmtId="49" fontId="3" fillId="0" borderId="8" xfId="0" applyNumberFormat="1" applyFont="1" applyBorder="1" applyAlignment="1">
      <x:alignment vertical="top" wrapText="1"/>
    </x:xf>
    <x:xf numFmtId="0" fontId="3" fillId="0" borderId="8" xfId="0" applyFont="1" applyBorder="1" applyAlignment="1">
      <x:alignment vertical="top" wrapText="1"/>
    </x:xf>
    <x:xf numFmtId="165" fontId="3" fillId="0" borderId="8" xfId="0" applyNumberFormat="1" applyFont="1" applyBorder="1" applyAlignment="1">
      <x:alignment vertical="top" wrapText="1"/>
    </x:xf>
    <x:xf numFmtId="0" fontId="9" fillId="0" borderId="9" xfId="0" applyFont="1" applyBorder="1" applyAlignment="1">
      <x:alignment vertical="top" wrapText="1"/>
    </x:xf>
    <x:xf numFmtId="0" fontId="3" fillId="0" borderId="0" xfId="0" applyFont="1" applyAlignment="1">
      <x:alignment vertical="top"/>
    </x:xf>
    <x:xf numFmtId="164" fontId="3" fillId="0" borderId="7" xfId="0" applyNumberFormat="1" applyFont="1" applyBorder="1" applyAlignment="1">
      <x:alignment vertical="top"/>
    </x:xf>
    <x:xf numFmtId="49" fontId="3" fillId="0" borderId="8" xfId="0" applyNumberFormat="1" applyFont="1" applyBorder="1" applyAlignment="1">
      <x:alignment vertical="top"/>
    </x:xf>
    <x:xf numFmtId="0" fontId="3" fillId="0" borderId="8" xfId="0" applyFont="1" applyBorder="1" applyAlignment="1">
      <x:alignment vertical="top"/>
    </x:xf>
    <x:xf numFmtId="0" fontId="3" fillId="0" borderId="9" xfId="0" applyFont="1" applyBorder="1" applyAlignment="1">
      <x:alignment vertical="top"/>
    </x:xf>
    <x:xf numFmtId="164" fontId="3" fillId="0" borderId="10" xfId="0" applyNumberFormat="1" applyFont="1" applyBorder="1" applyAlignment="1">
      <x:alignment vertical="top"/>
    </x:xf>
    <x:xf numFmtId="49" fontId="3" fillId="0" borderId="11" xfId="0" applyNumberFormat="1" applyFont="1" applyBorder="1" applyAlignment="1">
      <x:alignment vertical="top"/>
    </x:xf>
    <x:xf numFmtId="0" fontId="3" fillId="0" borderId="11" xfId="0" applyFont="1" applyBorder="1" applyAlignment="1">
      <x:alignment vertical="top"/>
    </x:xf>
    <x:xf numFmtId="0" fontId="3" fillId="0" borderId="12" xfId="0" applyFont="1" applyBorder="1" applyAlignment="1">
      <x:alignment vertical="top"/>
    </x:xf>
    <x:xf numFmtId="1" fontId="3" fillId="2" borderId="0" xfId="0" applyNumberFormat="1" applyFont="1" applyFill="1"/>
    <x:xf numFmtId="0" fontId="3" fillId="2" borderId="0" xfId="0" applyFont="1" applyFill="1" applyAlignment="1">
      <x:alignment horizontal="left"/>
    </x:xf>
    <x:xf numFmtId="1" fontId="3" fillId="2" borderId="0" xfId="0" applyNumberFormat="1" applyFont="1" applyFill="1" applyProtection="1">
      <x:protection hidden="1"/>
    </x:xf>
    <x:xf numFmtId="0" fontId="5" fillId="2" borderId="0" xfId="0" applyFont="1" applyFill="1" applyAlignment="1">
      <x:alignment horizontal="left"/>
    </x:xf>
    <x:xf numFmtId="0" fontId="11" fillId="2" borderId="0" xfId="0" applyFont="1" applyFill="1" applyAlignment="1">
      <x:alignment horizontal="left"/>
    </x:xf>
    <x:xf numFmtId="0" fontId="12" fillId="2" borderId="0" xfId="0" applyFont="1" applyFill="1" applyAlignment="1">
      <x:alignment horizontal="left"/>
    </x:xf>
    <x:xf numFmtId="0" fontId="3" fillId="2" borderId="0" xfId="0" applyFont="1" applyFill="1" applyAlignment="1">
      <x:alignment wrapText="1"/>
    </x:xf>
    <x:xf numFmtId="0" fontId="7" fillId="2" borderId="2" xfId="0" applyFont="1" applyFill="1" applyBorder="1" applyAlignment="1">
      <x:alignment vertical="top" wrapText="1"/>
    </x:xf>
    <x:xf numFmtId="1" fontId="6" fillId="2" borderId="0" xfId="0" applyNumberFormat="1" applyFont="1" applyFill="1"/>
    <x:xf numFmtId="0" fontId="3" fillId="2" borderId="0" xfId="0" applyFont="1" applyFill="1" applyAlignment="1">
      <x:alignment vertical="center"/>
    </x:xf>
    <x:xf numFmtId="1" fontId="3" fillId="2" borderId="0" xfId="0" applyNumberFormat="1" applyFont="1" applyFill="1" applyAlignment="1" applyProtection="1">
      <x:alignment vertical="center"/>
      <x:protection hidden="1"/>
    </x:xf>
    <x:xf numFmtId="0" fontId="3" fillId="2" borderId="0" xfId="0" applyFont="1" applyFill="1" applyAlignment="1">
      <x:alignment horizontal="left" vertical="center"/>
    </x:xf>
    <x:xf numFmtId="0" fontId="8" fillId="2" borderId="0" xfId="0" applyFont="1" applyFill="1" applyAlignment="1">
      <x:alignment horizontal="center"/>
    </x:xf>
    <x:xf numFmtId="1" fontId="10" fillId="4" borderId="4" xfId="0" applyNumberFormat="1" applyFont="1" applyFill="1" applyBorder="1" applyAlignment="1">
      <x:alignment horizontal="center" vertical="center"/>
    </x:xf>
    <x:xf numFmtId="0" fontId="10" fillId="4" borderId="5" xfId="0" applyFont="1" applyFill="1" applyBorder="1" applyAlignment="1">
      <x:alignment horizontal="center" vertical="center"/>
    </x:xf>
    <x:xf numFmtId="0" fontId="10" fillId="4" borderId="13" xfId="0" applyFont="1" applyFill="1" applyBorder="1" applyAlignment="1">
      <x:alignment horizontal="center" vertical="center"/>
    </x:xf>
    <x:xf numFmtId="0" fontId="10" fillId="4" borderId="6" xfId="0" applyFont="1" applyFill="1" applyBorder="1" applyAlignment="1">
      <x:alignment horizontal="center" vertical="center"/>
    </x:xf>
    <x:xf numFmtId="1" fontId="3" fillId="2" borderId="7" xfId="0" applyNumberFormat="1" applyFont="1" applyFill="1" applyBorder="1" applyAlignment="1">
      <x:alignment horizontal="center" vertical="top" wrapText="1"/>
    </x:xf>
    <x:xf numFmtId="49" fontId="3" fillId="2" borderId="8" xfId="0" applyNumberFormat="1" applyFont="1" applyFill="1" applyBorder="1" applyAlignment="1">
      <x:alignment horizontal="left" vertical="top" wrapText="1"/>
    </x:xf>
    <x:xf numFmtId="49" fontId="13" fillId="2" borderId="8" xfId="0" applyNumberFormat="1" applyFont="1" applyFill="1" applyBorder="1" applyAlignment="1">
      <x:alignment horizontal="left" vertical="top" wrapText="1"/>
    </x:xf>
    <x:xf numFmtId="0" fontId="14" fillId="2" borderId="8" xfId="0" applyFont="1" applyFill="1" applyBorder="1" applyAlignment="1">
      <x:alignment horizontal="left" vertical="top" wrapText="1"/>
    </x:xf>
    <x:xf numFmtId="0" fontId="3" fillId="2" borderId="9" xfId="0" applyFont="1" applyFill="1" applyBorder="1" applyAlignment="1">
      <x:alignment horizontal="left" vertical="top" wrapText="1"/>
    </x:xf>
    <x:xf numFmtId="0" fontId="8" fillId="2" borderId="0" xfId="0" applyFont="1" applyFill="1"/>
    <x:xf numFmtId="164" fontId="3" fillId="2" borderId="0" xfId="0" applyNumberFormat="1" applyFont="1" applyFill="1"/>
    <x:xf numFmtId="0" fontId="6" fillId="2" borderId="2" xfId="0" applyFont="1" applyFill="1" applyBorder="1" applyAlignment="1">
      <x:alignment horizontal="left" vertical="center"/>
    </x:xf>
    <x:xf numFmtId="0" fontId="6" fillId="2" borderId="3" xfId="0" applyFont="1" applyFill="1" applyBorder="1" applyAlignment="1">
      <x:alignment horizontal="left"/>
    </x:xf>
    <x:xf numFmtId="0" fontId="3" fillId="2" borderId="3" xfId="0" applyFont="1" applyFill="1" applyBorder="1" applyAlignment="1">
      <x:alignment vertical="top"/>
    </x:xf>
    <x:xf numFmtId="0" fontId="6" fillId="2" borderId="2" xfId="0" applyFont="1" applyFill="1" applyBorder="1" applyAlignment="1">
      <x:alignment vertical="center"/>
    </x:xf>
    <x:xf numFmtId="14" fontId="7" fillId="2" borderId="3" xfId="0" applyNumberFormat="1" applyFont="1" applyFill="1" applyBorder="1" applyAlignment="1">
      <x:alignment vertical="top"/>
    </x:xf>
    <x:xf numFmtId="0" fontId="6" fillId="2" borderId="0" xfId="0" applyFont="1" applyFill="1"/>
    <x:xf numFmtId="0" fontId="7" fillId="2" borderId="0" xfId="0" applyFont="1" applyFill="1"/>
    <x:xf numFmtId="0" fontId="3" fillId="2" borderId="14" xfId="0" applyFont="1" applyFill="1" applyBorder="1"/>
    <x:xf numFmtId="0" fontId="10" fillId="3" borderId="15" xfId="0" applyFont="1" applyFill="1" applyBorder="1" applyAlignment="1">
      <x:alignment horizontal="center"/>
    </x:xf>
    <x:xf numFmtId="0" fontId="10" fillId="3" borderId="5" xfId="0" applyFont="1" applyFill="1" applyBorder="1" applyAlignment="1">
      <x:alignment horizontal="center"/>
    </x:xf>
    <x:xf numFmtId="0" fontId="10" fillId="3" borderId="5" xfId="0" applyFont="1" applyFill="1" applyBorder="1" applyAlignment="1">
      <x:alignment horizontal="center" wrapText="1"/>
    </x:xf>
    <x:xf numFmtId="0" fontId="10" fillId="3" borderId="13" xfId="0" applyFont="1" applyFill="1" applyBorder="1" applyAlignment="1">
      <x:alignment horizontal="center"/>
    </x:xf>
    <x:xf numFmtId="0" fontId="10" fillId="3" borderId="16" xfId="0" applyFont="1" applyFill="1" applyBorder="1" applyAlignment="1">
      <x:alignment horizontal="center" wrapText="1"/>
    </x:xf>
    <x:xf numFmtId="0" fontId="3" fillId="2" borderId="17" xfId="0" applyFont="1" applyFill="1" applyBorder="1" applyAlignment="1">
      <x:alignment horizontal="center"/>
    </x:xf>
    <x:xf numFmtId="0" fontId="3" fillId="2" borderId="8" xfId="0" applyFont="1" applyFill="1" applyBorder="1"/>
    <x:xf numFmtId="0" fontId="3" fillId="2" borderId="8" xfId="0" applyFont="1" applyFill="1" applyBorder="1" applyAlignment="1">
      <x:alignment horizontal="center"/>
    </x:xf>
    <x:xf numFmtId="0" fontId="3" fillId="2" borderId="18" xfId="0" applyFont="1" applyFill="1" applyBorder="1" applyAlignment="1">
      <x:alignment horizontal="center"/>
    </x:xf>
    <x:xf numFmtId="0" fontId="15" fillId="3" borderId="19" xfId="0" applyFont="1" applyFill="1" applyBorder="1" applyAlignment="1">
      <x:alignment horizontal="center"/>
    </x:xf>
    <x:xf numFmtId="0" fontId="10" fillId="3" borderId="11" xfId="0" applyFont="1" applyFill="1" applyBorder="1"/>
    <x:xf numFmtId="0" fontId="15" fillId="3" borderId="11" xfId="0" applyFont="1" applyFill="1" applyBorder="1" applyAlignment="1">
      <x:alignment horizontal="center"/>
    </x:xf>
    <x:xf numFmtId="0" fontId="15" fillId="3" borderId="20" xfId="0" applyFont="1" applyFill="1" applyBorder="1" applyAlignment="1">
      <x:alignment horizontal="center"/>
    </x:xf>
    <x:xf numFmtId="2" fontId="16" fillId="2" borderId="0" xfId="0" applyNumberFormat="1" applyFont="1" applyFill="1" applyAlignment="1">
      <x:alignment horizontal="right" wrapText="1"/>
    </x:xf>
    <x:xf numFmtId="0" fontId="17" fillId="2" borderId="0" xfId="0" applyFont="1" applyFill="1" applyAlignment="1">
      <x:alignment horizontal="center" wrapText="1"/>
    </x:xf>
    <x:xf numFmtId="0" fontId="18" fillId="2" borderId="0" xfId="0" applyFont="1" applyFill="1"/>
    <x:xf numFmtId="0" fontId="8" fillId="2" borderId="21" xfId="0" applyFont="1" applyFill="1" applyBorder="1" applyAlignment="1">
      <x:alignment horizontal="center" vertical="top" wrapText="1"/>
    </x:xf>
    <x:xf numFmtId="0" fontId="7" fillId="2" borderId="0" xfId="0" applyFont="1" applyFill="1" applyAlignment="1">
      <x:alignment wrapText="1"/>
    </x:xf>
    <x:xf numFmtId="0" fontId="7" fillId="2" borderId="0" xfId="0" applyFont="1" applyFill="1" applyAlignment="1">
      <x:alignment horizontal="left" wrapText="1"/>
    </x:xf>
    <x:xf numFmtId="0" fontId="18" fillId="2" borderId="0" xfId="0" applyFont="1" applyFill="1" applyAlignment="1">
      <x:alignment wrapText="1"/>
    </x:xf>
    <x:xf numFmtId="0" fontId="17" fillId="2" borderId="0" xfId="0" applyFont="1" applyFill="1"/>
    <x:xf numFmtId="0" fontId="8" fillId="2" borderId="23" xfId="0" applyFont="1" applyFill="1" applyBorder="1" applyAlignment="1">
      <x:alignment horizontal="center" vertical="top" wrapText="1"/>
    </x:xf>
    <x:xf numFmtId="0" fontId="19" fillId="2" borderId="23" xfId="0" applyFont="1" applyFill="1" applyBorder="1" applyAlignment="1">
      <x:alignment horizontal="center" vertical="top" wrapText="1"/>
    </x:xf>
    <x:xf numFmtId="0" fontId="19" fillId="2" borderId="2" xfId="0" applyFont="1" applyFill="1" applyBorder="1" applyAlignment="1">
      <x:alignment horizontal="center" vertical="top" wrapText="1"/>
    </x:xf>
    <x:xf numFmtId="0" fontId="19" fillId="2" borderId="24" xfId="0" applyFont="1" applyFill="1" applyBorder="1" applyAlignment="1">
      <x:alignment horizontal="center" vertical="top" wrapText="1"/>
    </x:xf>
    <x:xf numFmtId="0" fontId="11" fillId="2" borderId="0" xfId="0" applyFont="1" applyFill="1" applyAlignment="1">
      <x:alignment horizontal="center" vertical="center" wrapText="1"/>
    </x:xf>
    <x:xf numFmtId="0" fontId="3" fillId="2" borderId="0" xfId="0" applyFont="1" applyFill="1" applyAlignment="1">
      <x:alignment horizontal="center" wrapText="1"/>
    </x:xf>
    <x:xf numFmtId="0" fontId="18" fillId="2" borderId="0" xfId="0" applyFont="1" applyFill="1" applyAlignment="1">
      <x:alignment horizontal="center" wrapText="1"/>
    </x:xf>
    <x:xf numFmtId="0" fontId="3" fillId="2" borderId="2" xfId="0" applyFont="1" applyFill="1" applyBorder="1" applyAlignment="1">
      <x:alignment horizontal="center" vertical="top" wrapText="1"/>
    </x:xf>
    <x:xf numFmtId="0" fontId="3" fillId="2" borderId="24" xfId="0" applyFont="1" applyFill="1" applyBorder="1" applyAlignment="1">
      <x:alignment horizontal="center" vertical="top" wrapText="1"/>
    </x:xf>
    <x:xf numFmtId="0" fontId="17" fillId="2" borderId="0" xfId="0" applyFont="1" applyFill="1" applyAlignment="1">
      <x:alignment horizontal="center" vertical="center" wrapText="1"/>
    </x:xf>
    <x:xf numFmtId="0" fontId="19" fillId="2" borderId="25" xfId="0" applyFont="1" applyFill="1" applyBorder="1" applyAlignment="1">
      <x:alignment horizontal="center" vertical="top" wrapText="1"/>
    </x:xf>
    <x:xf numFmtId="0" fontId="3" fillId="2" borderId="26" xfId="0" applyFont="1" applyFill="1" applyBorder="1" applyAlignment="1">
      <x:alignment horizontal="center" vertical="top" wrapText="1"/>
    </x:xf>
    <x:xf numFmtId="0" fontId="3" fillId="2" borderId="27" xfId="0" applyFont="1" applyFill="1" applyBorder="1" applyAlignment="1">
      <x:alignment horizontal="center" vertical="top" wrapText="1"/>
    </x:xf>
    <x:xf numFmtId="0" fontId="10" fillId="5" borderId="2" xfId="0" applyFont="1" applyFill="1" applyBorder="1" applyAlignment="1">
      <x:alignment horizontal="center" vertical="center" wrapText="1"/>
    </x:xf>
    <x:xf numFmtId="0" fontId="12" fillId="2" borderId="0" xfId="0" applyFont="1" applyFill="1" applyAlignment="1">
      <x:alignment horizontal="center" vertical="center" wrapText="1"/>
    </x:xf>
    <x:xf numFmtId="0" fontId="8" fillId="6" borderId="28" xfId="0" applyFont="1" applyFill="1" applyBorder="1" applyAlignment="1">
      <x:alignment horizontal="left" vertical="center"/>
    </x:xf>
    <x:xf numFmtId="0" fontId="8" fillId="6" borderId="29" xfId="0" applyFont="1" applyFill="1" applyBorder="1" applyAlignment="1">
      <x:alignment horizontal="left" vertical="center"/>
    </x:xf>
    <x:xf numFmtId="0" fontId="12" fillId="2" borderId="0" xfId="0" applyFont="1" applyFill="1" applyAlignment="1">
      <x:alignment horizontal="left" vertical="center"/>
    </x:xf>
    <x:xf numFmtId="0" fontId="3" fillId="2" borderId="2" xfId="0" applyFont="1" applyFill="1" applyBorder="1" applyAlignment="1">
      <x:alignment vertical="top" wrapText="1"/>
    </x:xf>
    <x:xf numFmtId="0" fontId="7" fillId="2" borderId="2" xfId="0" applyFont="1" applyFill="1" applyBorder="1" applyAlignment="1">
      <x:alignment horizontal="left" vertical="top" wrapText="1"/>
    </x:xf>
    <x:xf numFmtId="0" fontId="18" fillId="2" borderId="0" xfId="0" applyFont="1" applyFill="1" applyAlignment="1">
      <x:alignment vertical="top" wrapText="1"/>
    </x:xf>
    <x:xf numFmtId="166" fontId="3" fillId="2" borderId="2" xfId="0" applyNumberFormat="1" applyFont="1" applyFill="1" applyBorder="1" applyAlignment="1">
      <x:alignment vertical="top" wrapText="1"/>
    </x:xf>
    <x:xf numFmtId="0" fontId="8" fillId="6" borderId="30" xfId="0" applyFont="1" applyFill="1" applyBorder="1" applyAlignment="1">
      <x:alignment vertical="top" wrapText="1"/>
    </x:xf>
    <x:xf numFmtId="167" fontId="8" fillId="6" borderId="29" xfId="0" applyNumberFormat="1" applyFont="1" applyFill="1" applyBorder="1" applyAlignment="1">
      <x:alignment horizontal="left" vertical="center"/>
    </x:xf>
    <x:xf numFmtId="167" fontId="3" fillId="2" borderId="2" xfId="0" applyNumberFormat="1" applyFont="1" applyFill="1" applyBorder="1" applyAlignment="1">
      <x:alignment vertical="top" wrapText="1"/>
    </x:xf>
    <x:xf numFmtId="167" fontId="0" fillId="0" borderId="0" xfId="0" applyNumberFormat="1"/>
    <x:xf numFmtId="0" fontId="8" fillId="6" borderId="30" xfId="0" applyFont="1" applyFill="1" applyBorder="1" applyAlignment="1">
      <x:alignment horizontal="left" vertical="center" wrapText="1"/>
    </x:xf>
    <x:xf numFmtId="0" fontId="0" fillId="0" borderId="0" xfId="0" applyAlignment="1">
      <x:alignment wrapText="1"/>
    </x:xf>
    <x:xf numFmtId="164" fontId="3" fillId="2" borderId="0" xfId="0" applyNumberFormat="1" applyFont="1" applyFill="1" applyAlignment="1">
      <x:alignment wrapText="1"/>
    </x:xf>
    <x:xf numFmtId="0" fontId="8" fillId="0" borderId="0" xfId="0" applyFont="1" applyAlignment="1">
      <x:alignment horizontal="left" wrapText="1"/>
    </x:xf>
    <x:xf numFmtId="164" fontId="10" fillId="3" borderId="4" xfId="0" applyNumberFormat="1" applyFont="1" applyFill="1" applyBorder="1" applyAlignment="1">
      <x:alignment horizontal="center" vertical="center" wrapText="1"/>
    </x:xf>
    <x:xf numFmtId="0" fontId="10" fillId="3" borderId="5" xfId="0" applyFont="1" applyFill="1" applyBorder="1" applyAlignment="1">
      <x:alignment horizontal="center" vertical="center" wrapText="1"/>
    </x:xf>
    <x:xf numFmtId="0" fontId="10" fillId="3" borderId="6" xfId="0" applyFont="1" applyFill="1" applyBorder="1" applyAlignment="1">
      <x:alignment horizontal="center" vertical="center" wrapText="1"/>
    </x:xf>
    <x:xf numFmtId="167" fontId="3" fillId="0" borderId="7" xfId="0" applyNumberFormat="1" applyFont="1" applyBorder="1" applyAlignment="1">
      <x:alignment vertical="top" wrapText="1"/>
    </x:xf>
    <x:xf numFmtId="0" fontId="3" fillId="0" borderId="9" xfId="0" applyFont="1" applyBorder="1" applyAlignment="1">
      <x:alignment vertical="top" wrapText="1"/>
    </x:xf>
    <x:xf numFmtId="0" fontId="20" fillId="2" borderId="0" xfId="0" applyFont="1" applyFill="1"/>
    <x:xf numFmtId="0" fontId="5" fillId="0" borderId="2" xfId="0" applyFont="1" applyBorder="1" applyAlignment="1">
      <x:alignment horizontal="center" vertical="center"/>
    </x:xf>
    <x:xf numFmtId="0" fontId="0" fillId="0" borderId="31" xfId="0" applyBorder="1"/>
    <x:xf numFmtId="0" fontId="0" fillId="0" borderId="3" xfId="0" applyBorder="1"/>
    <x:xf numFmtId="0" fontId="9" fillId="0" borderId="2" xfId="0" applyFont="1" applyBorder="1" applyAlignment="1">
      <x:alignment horizontal="left" vertical="center"/>
    </x:xf>
    <x:xf numFmtId="0" fontId="9" fillId="0" borderId="2" xfId="0" applyFont="1" applyBorder="1" applyAlignment="1">
      <x:alignment horizontal="left"/>
    </x:xf>
    <x:xf numFmtId="0" fontId="7" fillId="2" borderId="2" xfId="0" applyFont="1" applyFill="1" applyBorder="1" applyAlignment="1">
      <x:alignment vertical="top" wrapText="1"/>
    </x:xf>
    <x:xf numFmtId="1" fontId="6" fillId="2" borderId="1" xfId="0" applyNumberFormat="1" applyFont="1" applyFill="1" applyBorder="1"/>
    <x:xf numFmtId="1" fontId="6" fillId="2" borderId="2" xfId="0" applyNumberFormat="1" applyFont="1" applyFill="1" applyBorder="1" applyAlignment="1">
      <x:alignment vertical="center" wrapText="1"/>
    </x:xf>
    <x:xf numFmtId="0" fontId="7" fillId="2" borderId="2" xfId="0" applyFont="1" applyFill="1" applyBorder="1" applyAlignment="1">
      <x:alignment horizontal="left"/>
    </x:xf>
    <x:xf numFmtId="0" fontId="6" fillId="2" borderId="2" xfId="0" applyFont="1" applyFill="1" applyBorder="1" applyAlignment="1">
      <x:alignment horizontal="left"/>
    </x:xf>
    <x:xf numFmtId="0" fontId="0" fillId="0" borderId="31" xfId="0" applyBorder="1" applyAlignment="1">
      <x:alignment wrapText="1"/>
    </x:xf>
    <x:xf numFmtId="0" fontId="0" fillId="0" borderId="3" xfId="0" applyBorder="1" applyAlignment="1">
      <x:alignment wrapText="1"/>
    </x:xf>
    <x:xf numFmtId="0" fontId="5" fillId="2" borderId="0" xfId="0" applyFont="1" applyFill="1" applyAlignment="1">
      <x:alignment horizontal="center"/>
    </x:xf>
    <x:xf numFmtId="0" fontId="0" fillId="0" borderId="0" xfId="0"/>
    <x:xf numFmtId="0" fontId="3" fillId="2" borderId="2" xfId="0" applyFont="1" applyFill="1" applyBorder="1" applyAlignment="1">
      <x:alignment horizontal="left" vertical="top" wrapText="1"/>
    </x:xf>
    <x:xf numFmtId="0" fontId="3" fillId="2" borderId="22" xfId="0" applyFont="1" applyFill="1" applyBorder="1" applyAlignment="1">
      <x:alignment horizontal="left" vertical="top" wrapText="1"/>
    </x:xf>
    <x:xf numFmtId="0" fontId="0" fillId="0" borderId="32" xfId="0" applyBorder="1"/>
    <x:xf numFmtId="0" fontId="0" fillId="0" borderId="33" xfId="0" applyBorder="1"/>
    <x:xf numFmtId="200" fontId="3" fillId="0" borderId="7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/>
    <x:xf numFmtId="201" fontId="7" fillId="2" borderId="0" xfId="0" applyNumberFormat="1" applyFont="1" applyFill="1" applyBorder="1" applyAlignment="1">
      <x:alignment horizontal="left" wrapText="1"/>
    </x:xf>
    <x:xf numFmtId="201" fontId="11" fillId="2" borderId="0" xfId="0" applyNumberFormat="1" applyFont="1" applyFill="1" applyBorder="1" applyAlignment="1">
      <x:alignment horizontal="center" vertical="center" wrapText="1"/>
    </x:xf>
    <x:xf numFmtId="201" fontId="17" fillId="2" borderId="0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wrapText="1"/>
    </x:xf>
    <x:xf numFmtId="201" fontId="10" fillId="5" borderId="2" xfId="0" applyNumberFormat="1" applyFont="1" applyFill="1" applyBorder="1" applyAlignment="1">
      <x:alignment horizontal="center" vertical="center" wrapText="1"/>
    </x:xf>
    <x:xf numFmtId="201" fontId="8" fillId="6" borderId="29" xfId="0" applyNumberFormat="1" applyFont="1" applyFill="1" applyBorder="1" applyAlignment="1">
      <x:alignment horizontal="left" vertical="center"/>
    </x:xf>
    <x:xf numFmtId="201" fontId="3" fillId="2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10" fillId="7" borderId="2" xfId="0" applyNumberFormat="1" applyFont="1" applyFill="1" applyBorder="1" applyAlignment="1">
      <x:alignment horizontal="center" vertical="center" wrapText="1"/>
    </x:xf>
    <x:xf numFmtId="201" fontId="10" fillId="7" borderId="2" xfId="0" applyNumberFormat="1" applyFont="1" applyFill="1" applyBorder="1" applyAlignment="1">
      <x:alignment horizontal="center" vertical="center" wrapText="1"/>
    </x:xf>
    <x:xf numFmtId="0" fontId="21" fillId="7" borderId="2" xfId="0" applyNumberFormat="1" applyFont="1" applyFill="1" applyBorder="1" applyAlignment="1">
      <x:alignment horizontal="center" vertical="center" wrapText="1"/>
    </x:xf>
    <x:xf numFmtId="201" fontId="21" fillId="7" borderId="2" xfId="0" applyNumberFormat="1" applyFont="1" applyFill="1" applyBorder="1" applyAlignment="1">
      <x:alignment horizontal="center" vertical="center" wrapText="1"/>
    </x:xf>
    <x:xf numFmtId="0" fontId="8" fillId="6" borderId="29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8" fillId="6" borderId="30" xfId="0" applyNumberFormat="1" applyFont="1" applyFill="1" applyBorder="1" applyAlignment="1">
      <x:alignment horizontal="left" vertical="center" wrapText="1"/>
    </x:xf>
    <x:xf numFmtId="0" fontId="3" fillId="2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8" fillId="6" borderId="30" xfId="0" applyNumberFormat="1" applyFont="1" applyFill="1" applyBorder="1" applyAlignment="1">
      <x:alignment vertical="top" wrapText="1"/>
    </x:xf>
    <x:xf numFmtId="202" fontId="16" fillId="2" borderId="0" xfId="0" applyNumberFormat="1" applyFont="1" applyFill="1" applyBorder="1" applyAlignment="1">
      <x:alignment horizontal="right" wrapText="1"/>
    </x:xf>
    <x:xf numFmtId="201" fontId="3" fillId="0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23" fillId="8" borderId="0" xfId="0" applyNumberFormat="1" applyFont="1" applyFill="1" applyBorder="1"/>
    <x:xf numFmtId="0" fontId="0" fillId="9" borderId="0" xfId="0" applyNumberFormat="1" applyFont="1" applyFill="1" applyBorder="1"/>
    <x:xf numFmtId="0" fontId="24" fillId="9" borderId="0" xfId="0" applyNumberFormat="1" applyFont="1" applyFill="1" applyBorder="1"/>
    <x:xf numFmtId="0" fontId="24" fillId="9" borderId="0" xfId="0" applyNumberFormat="1" applyFont="1" applyFill="1" applyBorder="1" applyAlignment="1">
      <x:alignment wrapText="1"/>
    </x:xf>
    <x:xf numFmtId="0" fontId="25" fillId="7" borderId="0" xfId="0" applyNumberFormat="1" applyFont="1" applyFill="1" applyBorder="1"/>
    <x:xf numFmtId="0" fontId="25" fillId="7" borderId="0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</x:cellXfs>
  <x:cellStyles count="7">
    <x:cellStyle name="Comma" xfId="1"/>
    <x:cellStyle name="Comma [0]" xfId="2"/>
    <x:cellStyle name="Currency" xfId="3"/>
    <x:cellStyle name="Currency [0]" xfId="4"/>
    <x:cellStyle name="Normal" xfId="0"/>
    <x:cellStyle name="Percent" xfId="5"/>
    <x:cellStyle name="標準_結合試験(AllOvertheWorld)" xfId="6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7933C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fc48ff7544684" /><Relationship Type="http://schemas.openxmlformats.org/officeDocument/2006/relationships/theme" Target="/xl/theme/theme1.xml" Id="Rec8b2a141f27451f" /><Relationship Type="http://schemas.openxmlformats.org/officeDocument/2006/relationships/sharedStrings" Target="/xl/sharedStrings.xml" Id="R4a799843847b4a91" /><Relationship Type="http://schemas.openxmlformats.org/officeDocument/2006/relationships/worksheet" Target="/xl/worksheets/sheet1.xml" Id="Read39d528c014fe5" /><Relationship Type="http://schemas.openxmlformats.org/officeDocument/2006/relationships/worksheet" Target="/xl/worksheets/sheet2.xml" Id="R0c66f25a7f3a45ff" /><Relationship Type="http://schemas.openxmlformats.org/officeDocument/2006/relationships/worksheet" Target="/xl/worksheets/sheet3.xml" Id="Rc82aa1b74d644d97" /><Relationship Type="http://schemas.openxmlformats.org/officeDocument/2006/relationships/worksheet" Target="/xl/worksheets/sheet4.xml" Id="R1d3d4a0f86e645b7" /><Relationship Type="http://schemas.openxmlformats.org/officeDocument/2006/relationships/worksheet" Target="/xl/worksheets/sheet5.xml" Id="R3edb62e4574f4ccb" /><Relationship Type="http://schemas.openxmlformats.org/officeDocument/2006/relationships/worksheet" Target="/xl/worksheets/sheet6.xml" Id="R716822149f6e4508" /><Relationship Type="http://schemas.openxmlformats.org/officeDocument/2006/relationships/worksheet" Target="/xl/worksheets/sheet7.xml" Id="R34cf01215ac143c7" /><Relationship Type="http://schemas.openxmlformats.org/officeDocument/2006/relationships/worksheet" Target="/xl/worksheets/sheet8.xml" Id="Re64f6718c1a4411f" /><Relationship Type="http://schemas.openxmlformats.org/officeDocument/2006/relationships/worksheet" Target="/xl/worksheets/sheet9.xml" Id="R8c0475b5e4054dc3" /><Relationship Type="http://schemas.openxmlformats.org/officeDocument/2006/relationships/worksheet" Target="/xl/worksheets/sheet10.xml" Id="R10efc6eea56948e4" /><Relationship Type="http://schemas.microsoft.com/office/2017/10/relationships/person" Target="/xl/persons/person.xml" Id="Rf8cf4d8483544ac2" /></Relationships>
</file>

<file path=xl/persons/person.xml><?xml version="1.0" encoding="utf-8"?>
<xltc:personList xmlns:xltc="http://schemas.microsoft.com/office/spreadsheetml/2018/threadedcomments">
  <xltc:person displayName="Unknown Author" id="{441D3B8E-E9EA-DA91-7A0D-7BDB7350A610}"/>
  <xltc:person displayName="Unknown Author" id="{9EB1C835-4E36-5B09-6C54-6BBC40E57AF1}"/>
  <xltc:person displayName="Unknown Author" id="{3890C276-0712-AB91-DFE7-EB939504B938}"/>
  <xltc:person displayName="Unknown Author" id="{E337FD8F-95D0-2473-AE56-1B08BE3974EF}"/>
  <xltc:person displayName="Unknown Author" id="{23890CA8-7A93-829A-BA8D-D97A1A86D9F2}"/>
  <xltc:person displayName="Unknown Author" id="{05F37DF4-B220-FBF6-2883-80EC6052C74D}"/>
  <xltc:person displayName="Unknown Author" id="{14F1EF2F-1A77-15F1-0E1C-ED9B453CC756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76e99d2a2ec4e6d" /><Relationship Type="http://schemas.openxmlformats.org/officeDocument/2006/relationships/vmlDrawing" Target="/xl/drawings/vmldrawing.vml" Id="R9aa051fe58cb44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cf6b7ff558874a81" /><Relationship Type="http://schemas.openxmlformats.org/officeDocument/2006/relationships/vmlDrawing" Target="/xl/drawings/vmldrawing2.vml" Id="R4ae780ba1d4d4a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4161cc5ab80f4b14" /><Relationship Type="http://schemas.openxmlformats.org/officeDocument/2006/relationships/vmlDrawing" Target="/xl/drawings/vmldrawing3.vml" Id="Rdb60c01af4244d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b60d80d34e5b4945" /><Relationship Type="http://schemas.openxmlformats.org/officeDocument/2006/relationships/vmlDrawing" Target="/xl/drawings/vmldrawing4.vml" Id="R1be63b6599ba43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eff3a25ed613464d" /><Relationship Type="http://schemas.openxmlformats.org/officeDocument/2006/relationships/vmlDrawing" Target="/xl/drawings/vmldrawing5.vml" Id="R72061d571b3640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6.xml" Id="R04111c2c3f3e4ce5" /><Relationship Type="http://schemas.openxmlformats.org/officeDocument/2006/relationships/vmlDrawing" Target="/xl/drawings/vmldrawing6.vml" Id="R755ae62f14e940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7.xml" Id="R97155772553d46e9" /><Relationship Type="http://schemas.openxmlformats.org/officeDocument/2006/relationships/vmlDrawing" Target="/xl/drawings/vmldrawing7.vml" Id="R239e2e71682543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2.75"/>
  <x:cols>
    <x:col min="1" max="1" width="28.125" style="1" customWidth="1"/>
    <x:col min="2" max="2" width="10" style="2" customWidth="1"/>
    <x:col min="3" max="3" width="14.375" style="2" customWidth="1"/>
    <x:col min="4" max="4" width="8" style="2" customWidth="1"/>
    <x:col min="5" max="5" width="38" style="2" customWidth="1"/>
    <x:col min="6" max="6" width="48.125" style="2" customWidth="1"/>
    <x:col min="7" max="256" width="9" style="2" customWidth="1"/>
    <x:col min="257" max="257" width="28.125" style="2" customWidth="1"/>
    <x:col min="258" max="258" width="10" style="2" customWidth="1"/>
    <x:col min="259" max="259" width="14.375" style="2" customWidth="1"/>
    <x:col min="260" max="260" width="8" style="2" customWidth="1"/>
    <x:col min="261" max="261" width="38" style="2" customWidth="1"/>
    <x:col min="262" max="262" width="48.125" style="2" customWidth="1"/>
    <x:col min="263" max="512" width="9" style="2" customWidth="1"/>
    <x:col min="513" max="513" width="28.125" style="2" customWidth="1"/>
    <x:col min="514" max="514" width="10" style="2" customWidth="1"/>
    <x:col min="515" max="515" width="14.375" style="2" customWidth="1"/>
    <x:col min="516" max="516" width="8" style="2" customWidth="1"/>
    <x:col min="517" max="517" width="38" style="2" customWidth="1"/>
    <x:col min="518" max="518" width="48.125" style="2" customWidth="1"/>
    <x:col min="519" max="768" width="9" style="2" customWidth="1"/>
    <x:col min="769" max="769" width="28.125" style="2" customWidth="1"/>
    <x:col min="770" max="770" width="10" style="2" customWidth="1"/>
    <x:col min="771" max="771" width="14.375" style="2" customWidth="1"/>
    <x:col min="772" max="772" width="8" style="2" customWidth="1"/>
    <x:col min="773" max="773" width="38" style="2" customWidth="1"/>
    <x:col min="774" max="774" width="48.125" style="2" customWidth="1"/>
    <x:col min="775" max="1024" width="9" style="2" customWidth="1"/>
    <x:col min="1025" max="1025" width="28.125" style="2" customWidth="1"/>
    <x:col min="1026" max="1026" width="10" style="2" customWidth="1"/>
    <x:col min="1027" max="1027" width="14.375" style="2" customWidth="1"/>
    <x:col min="1028" max="1028" width="8" style="2" customWidth="1"/>
    <x:col min="1029" max="1029" width="38" style="2" customWidth="1"/>
    <x:col min="1030" max="1030" width="48.125" style="2" customWidth="1"/>
    <x:col min="1031" max="1280" width="9" style="2" customWidth="1"/>
    <x:col min="1281" max="1281" width="28.125" style="2" customWidth="1"/>
    <x:col min="1282" max="1282" width="10" style="2" customWidth="1"/>
    <x:col min="1283" max="1283" width="14.375" style="2" customWidth="1"/>
    <x:col min="1284" max="1284" width="8" style="2" customWidth="1"/>
    <x:col min="1285" max="1285" width="38" style="2" customWidth="1"/>
    <x:col min="1286" max="1286" width="48.125" style="2" customWidth="1"/>
    <x:col min="1287" max="1536" width="9" style="2" customWidth="1"/>
    <x:col min="1537" max="1537" width="28.125" style="2" customWidth="1"/>
    <x:col min="1538" max="1538" width="10" style="2" customWidth="1"/>
    <x:col min="1539" max="1539" width="14.375" style="2" customWidth="1"/>
    <x:col min="1540" max="1540" width="8" style="2" customWidth="1"/>
    <x:col min="1541" max="1541" width="38" style="2" customWidth="1"/>
    <x:col min="1542" max="1542" width="48.125" style="2" customWidth="1"/>
    <x:col min="1543" max="1792" width="9" style="2" customWidth="1"/>
    <x:col min="1793" max="1793" width="28.125" style="2" customWidth="1"/>
    <x:col min="1794" max="1794" width="10" style="2" customWidth="1"/>
    <x:col min="1795" max="1795" width="14.375" style="2" customWidth="1"/>
    <x:col min="1796" max="1796" width="8" style="2" customWidth="1"/>
    <x:col min="1797" max="1797" width="38" style="2" customWidth="1"/>
    <x:col min="1798" max="1798" width="48.125" style="2" customWidth="1"/>
    <x:col min="1799" max="2048" width="9" style="2" customWidth="1"/>
    <x:col min="2049" max="2049" width="28.125" style="2" customWidth="1"/>
    <x:col min="2050" max="2050" width="10" style="2" customWidth="1"/>
    <x:col min="2051" max="2051" width="14.375" style="2" customWidth="1"/>
    <x:col min="2052" max="2052" width="8" style="2" customWidth="1"/>
    <x:col min="2053" max="2053" width="38" style="2" customWidth="1"/>
    <x:col min="2054" max="2054" width="48.125" style="2" customWidth="1"/>
    <x:col min="2055" max="2304" width="9" style="2" customWidth="1"/>
    <x:col min="2305" max="2305" width="28.125" style="2" customWidth="1"/>
    <x:col min="2306" max="2306" width="10" style="2" customWidth="1"/>
    <x:col min="2307" max="2307" width="14.375" style="2" customWidth="1"/>
    <x:col min="2308" max="2308" width="8" style="2" customWidth="1"/>
    <x:col min="2309" max="2309" width="38" style="2" customWidth="1"/>
    <x:col min="2310" max="2310" width="48.125" style="2" customWidth="1"/>
    <x:col min="2311" max="2560" width="9" style="2" customWidth="1"/>
    <x:col min="2561" max="2561" width="28.125" style="2" customWidth="1"/>
    <x:col min="2562" max="2562" width="10" style="2" customWidth="1"/>
    <x:col min="2563" max="2563" width="14.375" style="2" customWidth="1"/>
    <x:col min="2564" max="2564" width="8" style="2" customWidth="1"/>
    <x:col min="2565" max="2565" width="38" style="2" customWidth="1"/>
    <x:col min="2566" max="2566" width="48.125" style="2" customWidth="1"/>
    <x:col min="2567" max="2816" width="9" style="2" customWidth="1"/>
    <x:col min="2817" max="2817" width="28.125" style="2" customWidth="1"/>
    <x:col min="2818" max="2818" width="10" style="2" customWidth="1"/>
    <x:col min="2819" max="2819" width="14.375" style="2" customWidth="1"/>
    <x:col min="2820" max="2820" width="8" style="2" customWidth="1"/>
    <x:col min="2821" max="2821" width="38" style="2" customWidth="1"/>
    <x:col min="2822" max="2822" width="48.125" style="2" customWidth="1"/>
    <x:col min="2823" max="3072" width="9" style="2" customWidth="1"/>
    <x:col min="3073" max="3073" width="28.125" style="2" customWidth="1"/>
    <x:col min="3074" max="3074" width="10" style="2" customWidth="1"/>
    <x:col min="3075" max="3075" width="14.375" style="2" customWidth="1"/>
    <x:col min="3076" max="3076" width="8" style="2" customWidth="1"/>
    <x:col min="3077" max="3077" width="38" style="2" customWidth="1"/>
    <x:col min="3078" max="3078" width="48.125" style="2" customWidth="1"/>
    <x:col min="3079" max="3328" width="9" style="2" customWidth="1"/>
    <x:col min="3329" max="3329" width="28.125" style="2" customWidth="1"/>
    <x:col min="3330" max="3330" width="10" style="2" customWidth="1"/>
    <x:col min="3331" max="3331" width="14.375" style="2" customWidth="1"/>
    <x:col min="3332" max="3332" width="8" style="2" customWidth="1"/>
    <x:col min="3333" max="3333" width="38" style="2" customWidth="1"/>
    <x:col min="3334" max="3334" width="48.125" style="2" customWidth="1"/>
    <x:col min="3335" max="3584" width="9" style="2" customWidth="1"/>
    <x:col min="3585" max="3585" width="28.125" style="2" customWidth="1"/>
    <x:col min="3586" max="3586" width="10" style="2" customWidth="1"/>
    <x:col min="3587" max="3587" width="14.375" style="2" customWidth="1"/>
    <x:col min="3588" max="3588" width="8" style="2" customWidth="1"/>
    <x:col min="3589" max="3589" width="38" style="2" customWidth="1"/>
    <x:col min="3590" max="3590" width="48.125" style="2" customWidth="1"/>
    <x:col min="3591" max="3840" width="9" style="2" customWidth="1"/>
    <x:col min="3841" max="3841" width="28.125" style="2" customWidth="1"/>
    <x:col min="3842" max="3842" width="10" style="2" customWidth="1"/>
    <x:col min="3843" max="3843" width="14.375" style="2" customWidth="1"/>
    <x:col min="3844" max="3844" width="8" style="2" customWidth="1"/>
    <x:col min="3845" max="3845" width="38" style="2" customWidth="1"/>
    <x:col min="3846" max="3846" width="48.125" style="2" customWidth="1"/>
    <x:col min="3847" max="4096" width="9" style="2" customWidth="1"/>
    <x:col min="4097" max="4097" width="28.125" style="2" customWidth="1"/>
    <x:col min="4098" max="4098" width="10" style="2" customWidth="1"/>
    <x:col min="4099" max="4099" width="14.375" style="2" customWidth="1"/>
    <x:col min="4100" max="4100" width="8" style="2" customWidth="1"/>
    <x:col min="4101" max="4101" width="38" style="2" customWidth="1"/>
    <x:col min="4102" max="4102" width="48.125" style="2" customWidth="1"/>
    <x:col min="4103" max="4352" width="9" style="2" customWidth="1"/>
    <x:col min="4353" max="4353" width="28.125" style="2" customWidth="1"/>
    <x:col min="4354" max="4354" width="10" style="2" customWidth="1"/>
    <x:col min="4355" max="4355" width="14.375" style="2" customWidth="1"/>
    <x:col min="4356" max="4356" width="8" style="2" customWidth="1"/>
    <x:col min="4357" max="4357" width="38" style="2" customWidth="1"/>
    <x:col min="4358" max="4358" width="48.125" style="2" customWidth="1"/>
    <x:col min="4359" max="4608" width="9" style="2" customWidth="1"/>
    <x:col min="4609" max="4609" width="28.125" style="2" customWidth="1"/>
    <x:col min="4610" max="4610" width="10" style="2" customWidth="1"/>
    <x:col min="4611" max="4611" width="14.375" style="2" customWidth="1"/>
    <x:col min="4612" max="4612" width="8" style="2" customWidth="1"/>
    <x:col min="4613" max="4613" width="38" style="2" customWidth="1"/>
    <x:col min="4614" max="4614" width="48.125" style="2" customWidth="1"/>
    <x:col min="4615" max="4864" width="9" style="2" customWidth="1"/>
    <x:col min="4865" max="4865" width="28.125" style="2" customWidth="1"/>
    <x:col min="4866" max="4866" width="10" style="2" customWidth="1"/>
    <x:col min="4867" max="4867" width="14.375" style="2" customWidth="1"/>
    <x:col min="4868" max="4868" width="8" style="2" customWidth="1"/>
    <x:col min="4869" max="4869" width="38" style="2" customWidth="1"/>
    <x:col min="4870" max="4870" width="48.125" style="2" customWidth="1"/>
    <x:col min="4871" max="5120" width="9" style="2" customWidth="1"/>
    <x:col min="5121" max="5121" width="28.125" style="2" customWidth="1"/>
    <x:col min="5122" max="5122" width="10" style="2" customWidth="1"/>
    <x:col min="5123" max="5123" width="14.375" style="2" customWidth="1"/>
    <x:col min="5124" max="5124" width="8" style="2" customWidth="1"/>
    <x:col min="5125" max="5125" width="38" style="2" customWidth="1"/>
    <x:col min="5126" max="5126" width="48.125" style="2" customWidth="1"/>
    <x:col min="5127" max="5376" width="9" style="2" customWidth="1"/>
    <x:col min="5377" max="5377" width="28.125" style="2" customWidth="1"/>
    <x:col min="5378" max="5378" width="10" style="2" customWidth="1"/>
    <x:col min="5379" max="5379" width="14.375" style="2" customWidth="1"/>
    <x:col min="5380" max="5380" width="8" style="2" customWidth="1"/>
    <x:col min="5381" max="5381" width="38" style="2" customWidth="1"/>
    <x:col min="5382" max="5382" width="48.125" style="2" customWidth="1"/>
    <x:col min="5383" max="5632" width="9" style="2" customWidth="1"/>
    <x:col min="5633" max="5633" width="28.125" style="2" customWidth="1"/>
    <x:col min="5634" max="5634" width="10" style="2" customWidth="1"/>
    <x:col min="5635" max="5635" width="14.375" style="2" customWidth="1"/>
    <x:col min="5636" max="5636" width="8" style="2" customWidth="1"/>
    <x:col min="5637" max="5637" width="38" style="2" customWidth="1"/>
    <x:col min="5638" max="5638" width="48.125" style="2" customWidth="1"/>
    <x:col min="5639" max="5888" width="9" style="2" customWidth="1"/>
    <x:col min="5889" max="5889" width="28.125" style="2" customWidth="1"/>
    <x:col min="5890" max="5890" width="10" style="2" customWidth="1"/>
    <x:col min="5891" max="5891" width="14.375" style="2" customWidth="1"/>
    <x:col min="5892" max="5892" width="8" style="2" customWidth="1"/>
    <x:col min="5893" max="5893" width="38" style="2" customWidth="1"/>
    <x:col min="5894" max="5894" width="48.125" style="2" customWidth="1"/>
    <x:col min="5895" max="6144" width="9" style="2" customWidth="1"/>
    <x:col min="6145" max="6145" width="28.125" style="2" customWidth="1"/>
    <x:col min="6146" max="6146" width="10" style="2" customWidth="1"/>
    <x:col min="6147" max="6147" width="14.375" style="2" customWidth="1"/>
    <x:col min="6148" max="6148" width="8" style="2" customWidth="1"/>
    <x:col min="6149" max="6149" width="38" style="2" customWidth="1"/>
    <x:col min="6150" max="6150" width="48.125" style="2" customWidth="1"/>
    <x:col min="6151" max="6400" width="9" style="2" customWidth="1"/>
    <x:col min="6401" max="6401" width="28.125" style="2" customWidth="1"/>
    <x:col min="6402" max="6402" width="10" style="2" customWidth="1"/>
    <x:col min="6403" max="6403" width="14.375" style="2" customWidth="1"/>
    <x:col min="6404" max="6404" width="8" style="2" customWidth="1"/>
    <x:col min="6405" max="6405" width="38" style="2" customWidth="1"/>
    <x:col min="6406" max="6406" width="48.125" style="2" customWidth="1"/>
    <x:col min="6407" max="6656" width="9" style="2" customWidth="1"/>
    <x:col min="6657" max="6657" width="28.125" style="2" customWidth="1"/>
    <x:col min="6658" max="6658" width="10" style="2" customWidth="1"/>
    <x:col min="6659" max="6659" width="14.375" style="2" customWidth="1"/>
    <x:col min="6660" max="6660" width="8" style="2" customWidth="1"/>
    <x:col min="6661" max="6661" width="38" style="2" customWidth="1"/>
    <x:col min="6662" max="6662" width="48.125" style="2" customWidth="1"/>
    <x:col min="6663" max="6912" width="9" style="2" customWidth="1"/>
    <x:col min="6913" max="6913" width="28.125" style="2" customWidth="1"/>
    <x:col min="6914" max="6914" width="10" style="2" customWidth="1"/>
    <x:col min="6915" max="6915" width="14.375" style="2" customWidth="1"/>
    <x:col min="6916" max="6916" width="8" style="2" customWidth="1"/>
    <x:col min="6917" max="6917" width="38" style="2" customWidth="1"/>
    <x:col min="6918" max="6918" width="48.125" style="2" customWidth="1"/>
    <x:col min="6919" max="7168" width="9" style="2" customWidth="1"/>
    <x:col min="7169" max="7169" width="28.125" style="2" customWidth="1"/>
    <x:col min="7170" max="7170" width="10" style="2" customWidth="1"/>
    <x:col min="7171" max="7171" width="14.375" style="2" customWidth="1"/>
    <x:col min="7172" max="7172" width="8" style="2" customWidth="1"/>
    <x:col min="7173" max="7173" width="38" style="2" customWidth="1"/>
    <x:col min="7174" max="7174" width="48.125" style="2" customWidth="1"/>
    <x:col min="7175" max="7424" width="9" style="2" customWidth="1"/>
    <x:col min="7425" max="7425" width="28.125" style="2" customWidth="1"/>
    <x:col min="7426" max="7426" width="10" style="2" customWidth="1"/>
    <x:col min="7427" max="7427" width="14.375" style="2" customWidth="1"/>
    <x:col min="7428" max="7428" width="8" style="2" customWidth="1"/>
    <x:col min="7429" max="7429" width="38" style="2" customWidth="1"/>
    <x:col min="7430" max="7430" width="48.125" style="2" customWidth="1"/>
    <x:col min="7431" max="7680" width="9" style="2" customWidth="1"/>
    <x:col min="7681" max="7681" width="28.125" style="2" customWidth="1"/>
    <x:col min="7682" max="7682" width="10" style="2" customWidth="1"/>
    <x:col min="7683" max="7683" width="14.375" style="2" customWidth="1"/>
    <x:col min="7684" max="7684" width="8" style="2" customWidth="1"/>
    <x:col min="7685" max="7685" width="38" style="2" customWidth="1"/>
    <x:col min="7686" max="7686" width="48.125" style="2" customWidth="1"/>
    <x:col min="7687" max="7936" width="9" style="2" customWidth="1"/>
    <x:col min="7937" max="7937" width="28.125" style="2" customWidth="1"/>
    <x:col min="7938" max="7938" width="10" style="2" customWidth="1"/>
    <x:col min="7939" max="7939" width="14.375" style="2" customWidth="1"/>
    <x:col min="7940" max="7940" width="8" style="2" customWidth="1"/>
    <x:col min="7941" max="7941" width="38" style="2" customWidth="1"/>
    <x:col min="7942" max="7942" width="48.125" style="2" customWidth="1"/>
    <x:col min="7943" max="8192" width="9" style="2" customWidth="1"/>
    <x:col min="8193" max="8193" width="28.125" style="2" customWidth="1"/>
    <x:col min="8194" max="8194" width="10" style="2" customWidth="1"/>
    <x:col min="8195" max="8195" width="14.375" style="2" customWidth="1"/>
    <x:col min="8196" max="8196" width="8" style="2" customWidth="1"/>
    <x:col min="8197" max="8197" width="38" style="2" customWidth="1"/>
    <x:col min="8198" max="8198" width="48.125" style="2" customWidth="1"/>
    <x:col min="8199" max="8448" width="9" style="2" customWidth="1"/>
    <x:col min="8449" max="8449" width="28.125" style="2" customWidth="1"/>
    <x:col min="8450" max="8450" width="10" style="2" customWidth="1"/>
    <x:col min="8451" max="8451" width="14.375" style="2" customWidth="1"/>
    <x:col min="8452" max="8452" width="8" style="2" customWidth="1"/>
    <x:col min="8453" max="8453" width="38" style="2" customWidth="1"/>
    <x:col min="8454" max="8454" width="48.125" style="2" customWidth="1"/>
    <x:col min="8455" max="8704" width="9" style="2" customWidth="1"/>
    <x:col min="8705" max="8705" width="28.125" style="2" customWidth="1"/>
    <x:col min="8706" max="8706" width="10" style="2" customWidth="1"/>
    <x:col min="8707" max="8707" width="14.375" style="2" customWidth="1"/>
    <x:col min="8708" max="8708" width="8" style="2" customWidth="1"/>
    <x:col min="8709" max="8709" width="38" style="2" customWidth="1"/>
    <x:col min="8710" max="8710" width="48.125" style="2" customWidth="1"/>
    <x:col min="8711" max="8960" width="9" style="2" customWidth="1"/>
    <x:col min="8961" max="8961" width="28.125" style="2" customWidth="1"/>
    <x:col min="8962" max="8962" width="10" style="2" customWidth="1"/>
    <x:col min="8963" max="8963" width="14.375" style="2" customWidth="1"/>
    <x:col min="8964" max="8964" width="8" style="2" customWidth="1"/>
    <x:col min="8965" max="8965" width="38" style="2" customWidth="1"/>
    <x:col min="8966" max="8966" width="48.125" style="2" customWidth="1"/>
    <x:col min="8967" max="9216" width="9" style="2" customWidth="1"/>
    <x:col min="9217" max="9217" width="28.125" style="2" customWidth="1"/>
    <x:col min="9218" max="9218" width="10" style="2" customWidth="1"/>
    <x:col min="9219" max="9219" width="14.375" style="2" customWidth="1"/>
    <x:col min="9220" max="9220" width="8" style="2" customWidth="1"/>
    <x:col min="9221" max="9221" width="38" style="2" customWidth="1"/>
    <x:col min="9222" max="9222" width="48.125" style="2" customWidth="1"/>
    <x:col min="9223" max="9472" width="9" style="2" customWidth="1"/>
    <x:col min="9473" max="9473" width="28.125" style="2" customWidth="1"/>
    <x:col min="9474" max="9474" width="10" style="2" customWidth="1"/>
    <x:col min="9475" max="9475" width="14.375" style="2" customWidth="1"/>
    <x:col min="9476" max="9476" width="8" style="2" customWidth="1"/>
    <x:col min="9477" max="9477" width="38" style="2" customWidth="1"/>
    <x:col min="9478" max="9478" width="48.125" style="2" customWidth="1"/>
    <x:col min="9479" max="9728" width="9" style="2" customWidth="1"/>
    <x:col min="9729" max="9729" width="28.125" style="2" customWidth="1"/>
    <x:col min="9730" max="9730" width="10" style="2" customWidth="1"/>
    <x:col min="9731" max="9731" width="14.375" style="2" customWidth="1"/>
    <x:col min="9732" max="9732" width="8" style="2" customWidth="1"/>
    <x:col min="9733" max="9733" width="38" style="2" customWidth="1"/>
    <x:col min="9734" max="9734" width="48.125" style="2" customWidth="1"/>
    <x:col min="9735" max="9984" width="9" style="2" customWidth="1"/>
    <x:col min="9985" max="9985" width="28.125" style="2" customWidth="1"/>
    <x:col min="9986" max="9986" width="10" style="2" customWidth="1"/>
    <x:col min="9987" max="9987" width="14.375" style="2" customWidth="1"/>
    <x:col min="9988" max="9988" width="8" style="2" customWidth="1"/>
    <x:col min="9989" max="9989" width="38" style="2" customWidth="1"/>
    <x:col min="9990" max="9990" width="48.125" style="2" customWidth="1"/>
    <x:col min="9991" max="10240" width="9" style="2" customWidth="1"/>
    <x:col min="10241" max="10241" width="28.125" style="2" customWidth="1"/>
    <x:col min="10242" max="10242" width="10" style="2" customWidth="1"/>
    <x:col min="10243" max="10243" width="14.375" style="2" customWidth="1"/>
    <x:col min="10244" max="10244" width="8" style="2" customWidth="1"/>
    <x:col min="10245" max="10245" width="38" style="2" customWidth="1"/>
    <x:col min="10246" max="10246" width="48.125" style="2" customWidth="1"/>
    <x:col min="10247" max="10496" width="9" style="2" customWidth="1"/>
    <x:col min="10497" max="10497" width="28.125" style="2" customWidth="1"/>
    <x:col min="10498" max="10498" width="10" style="2" customWidth="1"/>
    <x:col min="10499" max="10499" width="14.375" style="2" customWidth="1"/>
    <x:col min="10500" max="10500" width="8" style="2" customWidth="1"/>
    <x:col min="10501" max="10501" width="38" style="2" customWidth="1"/>
    <x:col min="10502" max="10502" width="48.125" style="2" customWidth="1"/>
    <x:col min="10503" max="10752" width="9" style="2" customWidth="1"/>
    <x:col min="10753" max="10753" width="28.125" style="2" customWidth="1"/>
    <x:col min="10754" max="10754" width="10" style="2" customWidth="1"/>
    <x:col min="10755" max="10755" width="14.375" style="2" customWidth="1"/>
    <x:col min="10756" max="10756" width="8" style="2" customWidth="1"/>
    <x:col min="10757" max="10757" width="38" style="2" customWidth="1"/>
    <x:col min="10758" max="10758" width="48.125" style="2" customWidth="1"/>
    <x:col min="10759" max="11008" width="9" style="2" customWidth="1"/>
    <x:col min="11009" max="11009" width="28.125" style="2" customWidth="1"/>
    <x:col min="11010" max="11010" width="10" style="2" customWidth="1"/>
    <x:col min="11011" max="11011" width="14.375" style="2" customWidth="1"/>
    <x:col min="11012" max="11012" width="8" style="2" customWidth="1"/>
    <x:col min="11013" max="11013" width="38" style="2" customWidth="1"/>
    <x:col min="11014" max="11014" width="48.125" style="2" customWidth="1"/>
    <x:col min="11015" max="11264" width="9" style="2" customWidth="1"/>
    <x:col min="11265" max="11265" width="28.125" style="2" customWidth="1"/>
    <x:col min="11266" max="11266" width="10" style="2" customWidth="1"/>
    <x:col min="11267" max="11267" width="14.375" style="2" customWidth="1"/>
    <x:col min="11268" max="11268" width="8" style="2" customWidth="1"/>
    <x:col min="11269" max="11269" width="38" style="2" customWidth="1"/>
    <x:col min="11270" max="11270" width="48.125" style="2" customWidth="1"/>
    <x:col min="11271" max="11520" width="9" style="2" customWidth="1"/>
    <x:col min="11521" max="11521" width="28.125" style="2" customWidth="1"/>
    <x:col min="11522" max="11522" width="10" style="2" customWidth="1"/>
    <x:col min="11523" max="11523" width="14.375" style="2" customWidth="1"/>
    <x:col min="11524" max="11524" width="8" style="2" customWidth="1"/>
    <x:col min="11525" max="11525" width="38" style="2" customWidth="1"/>
    <x:col min="11526" max="11526" width="48.125" style="2" customWidth="1"/>
    <x:col min="11527" max="11776" width="9" style="2" customWidth="1"/>
    <x:col min="11777" max="11777" width="28.125" style="2" customWidth="1"/>
    <x:col min="11778" max="11778" width="10" style="2" customWidth="1"/>
    <x:col min="11779" max="11779" width="14.375" style="2" customWidth="1"/>
    <x:col min="11780" max="11780" width="8" style="2" customWidth="1"/>
    <x:col min="11781" max="11781" width="38" style="2" customWidth="1"/>
    <x:col min="11782" max="11782" width="48.125" style="2" customWidth="1"/>
    <x:col min="11783" max="12032" width="9" style="2" customWidth="1"/>
    <x:col min="12033" max="12033" width="28.125" style="2" customWidth="1"/>
    <x:col min="12034" max="12034" width="10" style="2" customWidth="1"/>
    <x:col min="12035" max="12035" width="14.375" style="2" customWidth="1"/>
    <x:col min="12036" max="12036" width="8" style="2" customWidth="1"/>
    <x:col min="12037" max="12037" width="38" style="2" customWidth="1"/>
    <x:col min="12038" max="12038" width="48.125" style="2" customWidth="1"/>
    <x:col min="12039" max="12288" width="9" style="2" customWidth="1"/>
    <x:col min="12289" max="12289" width="28.125" style="2" customWidth="1"/>
    <x:col min="12290" max="12290" width="10" style="2" customWidth="1"/>
    <x:col min="12291" max="12291" width="14.375" style="2" customWidth="1"/>
    <x:col min="12292" max="12292" width="8" style="2" customWidth="1"/>
    <x:col min="12293" max="12293" width="38" style="2" customWidth="1"/>
    <x:col min="12294" max="12294" width="48.125" style="2" customWidth="1"/>
    <x:col min="12295" max="12544" width="9" style="2" customWidth="1"/>
    <x:col min="12545" max="12545" width="28.125" style="2" customWidth="1"/>
    <x:col min="12546" max="12546" width="10" style="2" customWidth="1"/>
    <x:col min="12547" max="12547" width="14.375" style="2" customWidth="1"/>
    <x:col min="12548" max="12548" width="8" style="2" customWidth="1"/>
    <x:col min="12549" max="12549" width="38" style="2" customWidth="1"/>
    <x:col min="12550" max="12550" width="48.125" style="2" customWidth="1"/>
    <x:col min="12551" max="12800" width="9" style="2" customWidth="1"/>
    <x:col min="12801" max="12801" width="28.125" style="2" customWidth="1"/>
    <x:col min="12802" max="12802" width="10" style="2" customWidth="1"/>
    <x:col min="12803" max="12803" width="14.375" style="2" customWidth="1"/>
    <x:col min="12804" max="12804" width="8" style="2" customWidth="1"/>
    <x:col min="12805" max="12805" width="38" style="2" customWidth="1"/>
    <x:col min="12806" max="12806" width="48.125" style="2" customWidth="1"/>
    <x:col min="12807" max="13056" width="9" style="2" customWidth="1"/>
    <x:col min="13057" max="13057" width="28.125" style="2" customWidth="1"/>
    <x:col min="13058" max="13058" width="10" style="2" customWidth="1"/>
    <x:col min="13059" max="13059" width="14.375" style="2" customWidth="1"/>
    <x:col min="13060" max="13060" width="8" style="2" customWidth="1"/>
    <x:col min="13061" max="13061" width="38" style="2" customWidth="1"/>
    <x:col min="13062" max="13062" width="48.125" style="2" customWidth="1"/>
    <x:col min="13063" max="13312" width="9" style="2" customWidth="1"/>
    <x:col min="13313" max="13313" width="28.125" style="2" customWidth="1"/>
    <x:col min="13314" max="13314" width="10" style="2" customWidth="1"/>
    <x:col min="13315" max="13315" width="14.375" style="2" customWidth="1"/>
    <x:col min="13316" max="13316" width="8" style="2" customWidth="1"/>
    <x:col min="13317" max="13317" width="38" style="2" customWidth="1"/>
    <x:col min="13318" max="13318" width="48.125" style="2" customWidth="1"/>
    <x:col min="13319" max="13568" width="9" style="2" customWidth="1"/>
    <x:col min="13569" max="13569" width="28.125" style="2" customWidth="1"/>
    <x:col min="13570" max="13570" width="10" style="2" customWidth="1"/>
    <x:col min="13571" max="13571" width="14.375" style="2" customWidth="1"/>
    <x:col min="13572" max="13572" width="8" style="2" customWidth="1"/>
    <x:col min="13573" max="13573" width="38" style="2" customWidth="1"/>
    <x:col min="13574" max="13574" width="48.125" style="2" customWidth="1"/>
    <x:col min="13575" max="13824" width="9" style="2" customWidth="1"/>
    <x:col min="13825" max="13825" width="28.125" style="2" customWidth="1"/>
    <x:col min="13826" max="13826" width="10" style="2" customWidth="1"/>
    <x:col min="13827" max="13827" width="14.375" style="2" customWidth="1"/>
    <x:col min="13828" max="13828" width="8" style="2" customWidth="1"/>
    <x:col min="13829" max="13829" width="38" style="2" customWidth="1"/>
    <x:col min="13830" max="13830" width="48.125" style="2" customWidth="1"/>
    <x:col min="13831" max="14080" width="9" style="2" customWidth="1"/>
    <x:col min="14081" max="14081" width="28.125" style="2" customWidth="1"/>
    <x:col min="14082" max="14082" width="10" style="2" customWidth="1"/>
    <x:col min="14083" max="14083" width="14.375" style="2" customWidth="1"/>
    <x:col min="14084" max="14084" width="8" style="2" customWidth="1"/>
    <x:col min="14085" max="14085" width="38" style="2" customWidth="1"/>
    <x:col min="14086" max="14086" width="48.125" style="2" customWidth="1"/>
    <x:col min="14087" max="14336" width="9" style="2" customWidth="1"/>
    <x:col min="14337" max="14337" width="28.125" style="2" customWidth="1"/>
    <x:col min="14338" max="14338" width="10" style="2" customWidth="1"/>
    <x:col min="14339" max="14339" width="14.375" style="2" customWidth="1"/>
    <x:col min="14340" max="14340" width="8" style="2" customWidth="1"/>
    <x:col min="14341" max="14341" width="38" style="2" customWidth="1"/>
    <x:col min="14342" max="14342" width="48.125" style="2" customWidth="1"/>
    <x:col min="14343" max="14592" width="9" style="2" customWidth="1"/>
    <x:col min="14593" max="14593" width="28.125" style="2" customWidth="1"/>
    <x:col min="14594" max="14594" width="10" style="2" customWidth="1"/>
    <x:col min="14595" max="14595" width="14.375" style="2" customWidth="1"/>
    <x:col min="14596" max="14596" width="8" style="2" customWidth="1"/>
    <x:col min="14597" max="14597" width="38" style="2" customWidth="1"/>
    <x:col min="14598" max="14598" width="48.125" style="2" customWidth="1"/>
    <x:col min="14599" max="14848" width="9" style="2" customWidth="1"/>
    <x:col min="14849" max="14849" width="28.125" style="2" customWidth="1"/>
    <x:col min="14850" max="14850" width="10" style="2" customWidth="1"/>
    <x:col min="14851" max="14851" width="14.375" style="2" customWidth="1"/>
    <x:col min="14852" max="14852" width="8" style="2" customWidth="1"/>
    <x:col min="14853" max="14853" width="38" style="2" customWidth="1"/>
    <x:col min="14854" max="14854" width="48.125" style="2" customWidth="1"/>
    <x:col min="14855" max="15104" width="9" style="2" customWidth="1"/>
    <x:col min="15105" max="15105" width="28.125" style="2" customWidth="1"/>
    <x:col min="15106" max="15106" width="10" style="2" customWidth="1"/>
    <x:col min="15107" max="15107" width="14.375" style="2" customWidth="1"/>
    <x:col min="15108" max="15108" width="8" style="2" customWidth="1"/>
    <x:col min="15109" max="15109" width="38" style="2" customWidth="1"/>
    <x:col min="15110" max="15110" width="48.125" style="2" customWidth="1"/>
    <x:col min="15111" max="15360" width="9" style="2" customWidth="1"/>
    <x:col min="15361" max="15361" width="28.125" style="2" customWidth="1"/>
    <x:col min="15362" max="15362" width="10" style="2" customWidth="1"/>
    <x:col min="15363" max="15363" width="14.375" style="2" customWidth="1"/>
    <x:col min="15364" max="15364" width="8" style="2" customWidth="1"/>
    <x:col min="15365" max="15365" width="38" style="2" customWidth="1"/>
    <x:col min="15366" max="15366" width="48.125" style="2" customWidth="1"/>
    <x:col min="15367" max="15616" width="9" style="2" customWidth="1"/>
    <x:col min="15617" max="15617" width="28.125" style="2" customWidth="1"/>
    <x:col min="15618" max="15618" width="10" style="2" customWidth="1"/>
    <x:col min="15619" max="15619" width="14.375" style="2" customWidth="1"/>
    <x:col min="15620" max="15620" width="8" style="2" customWidth="1"/>
    <x:col min="15621" max="15621" width="38" style="2" customWidth="1"/>
    <x:col min="15622" max="15622" width="48.125" style="2" customWidth="1"/>
    <x:col min="15623" max="15872" width="9" style="2" customWidth="1"/>
    <x:col min="15873" max="15873" width="28.125" style="2" customWidth="1"/>
    <x:col min="15874" max="15874" width="10" style="2" customWidth="1"/>
    <x:col min="15875" max="15875" width="14.375" style="2" customWidth="1"/>
    <x:col min="15876" max="15876" width="8" style="2" customWidth="1"/>
    <x:col min="15877" max="15877" width="38" style="2" customWidth="1"/>
    <x:col min="15878" max="15878" width="48.125" style="2" customWidth="1"/>
    <x:col min="15879" max="16128" width="9" style="2" customWidth="1"/>
    <x:col min="16129" max="16129" width="28.125" style="2" customWidth="1"/>
    <x:col min="16130" max="16130" width="10" style="2" customWidth="1"/>
    <x:col min="16131" max="16131" width="14.375" style="2" customWidth="1"/>
    <x:col min="16132" max="16132" width="8" style="2" customWidth="1"/>
    <x:col min="16133" max="16133" width="38" style="2" customWidth="1"/>
    <x:col min="16134" max="16134" width="48.125" style="2" customWidth="1"/>
    <x:col min="16135" max="16384" width="9" style="2" customWidth="1"/>
  </x:cols>
  <x:sheetData>
    <x:row r="2" s="4" customFormat="1" ht="75.75" customHeight="1">
      <x:c r="A2" s="3"/>
      <x:c r="B2" s="119" t="str">
        <x:v>BÁO CÁO KIỂM THỬ API</x:v>
      </x:c>
      <x:c r="C2" s="120"/>
      <x:c r="D2" s="120"/>
      <x:c r="E2" s="120"/>
      <x:c r="F2" s="121"/>
    </x:row>
    <x:row r="3" ht="12.75" customHeight="1">
      <x:c r="A3" s="5"/>
      <x:c r="B3" s="6"/>
      <x:c r="E3" s="7"/>
    </x:row>
    <x:row r="4" ht="14.25" customHeight="1">
      <x:c r="A4" s="8" t="str">
        <x:v>Tên dự án</x:v>
      </x:c>
      <x:c r="B4" s="123" t="str">
        <x:v>Nền tảng đặt vé xe trực tuyến</x:v>
      </x:c>
      <x:c r="C4" s="120"/>
      <x:c r="D4" s="121"/>
      <x:c r="E4" s="8" t="str">
        <x:v>Người thực hiện</x:v>
      </x:c>
      <x:c r="F4" s="9" t="str">
        <x:v>Minh Trí</x:v>
      </x:c>
    </x:row>
    <x:row r="5" ht="14.25" customHeight="1">
      <x:c r="A5" s="8" t="str">
        <x:v>Mã dự án</x:v>
      </x:c>
      <x:c r="B5" s="123" t="s">
        <x:v>0</x:v>
      </x:c>
      <x:c r="C5" s="120"/>
      <x:c r="D5" s="121"/>
      <x:c r="E5" s="8" t="str">
        <x:v>Ngày cập nhật</x:v>
      </x:c>
      <x:c r="F5" s="10" t="n">
        <x:v>46325</x:v>
      </x:c>
    </x:row>
    <x:row r="6" ht="15.75" customHeight="1">
      <x:c r="A6" s="11" t="str">
        <x:v>Mã tài liệu</x:v>
      </x:c>
      <x:c r="B6" s="122" t="str">
        <x:v>PBL6_API_TestReport_Round2_v2.0</x:v>
      </x:c>
      <x:c r="C6" s="120"/>
      <x:c r="D6" s="121"/>
      <x:c r="E6" s="8" t="str">
        <x:v>Phiên bản</x:v>
      </x:c>
      <x:c r="F6" s="12" t="str">
        <x:v>2.0</x:v>
      </x:c>
    </x:row>
    <x:row r="7" ht="12.75" customHeight="1">
      <x:c r="A7" s="13"/>
      <x:c r="B7" s="6"/>
      <x:c r="E7" s="14"/>
      <x:c r="F7" s="6"/>
    </x:row>
    <x:row r="8" ht="12.75" customHeight="1">
      <x:c r="A8" s="2"/>
    </x:row>
    <x:row r="9" ht="12.75" customHeight="1">
      <x:c r="A9" s="112" t="str">
        <x:v>Lịch sử cập nhật</x:v>
      </x:c>
      <x:c r="B9" s="110"/>
      <x:c r="C9" s="110"/>
      <x:c r="D9" s="110"/>
      <x:c r="E9" s="110"/>
      <x:c r="F9" s="110"/>
    </x:row>
    <x:row r="10" s="15" customFormat="1" ht="12.75" customHeight="1">
      <x:c r="A10" s="113" t="str">
        <x:v>Ngày cập nhật</x:v>
      </x:c>
      <x:c r="B10" s="114" t="str">
        <x:v>Phiên bản</x:v>
      </x:c>
      <x:c r="C10" s="114" t="str">
        <x:v>Hạng mục</x:v>
      </x:c>
      <x:c r="D10" s="114" t="str">
        <x:v>*A,D,M</x:v>
      </x:c>
      <x:c r="E10" s="114" t="str">
        <x:v>Mô tả</x:v>
      </x:c>
      <x:c r="F10" s="115" t="str">
        <x:v>Tài liệu tham khảo</x:v>
      </x:c>
    </x:row>
    <x:row r="11" s="21" customFormat="1" ht="45" customHeight="1">
      <x:c r="A11" s="16">
        <x:v>46323</x:v>
      </x:c>
      <x:c r="B11" s="17" t="s">
        <x:v>1</x:v>
      </x:c>
      <x:c r="C11" s="18" t="s">
        <x:v>2</x:v>
      </x:c>
      <x:c r="D11" s="18" t="s">
        <x:v>3</x:v>
      </x:c>
      <x:c r="E11" s="19" t="str">
        <x:v>Tạo báo cáo kiểm thử API gồm 11 nhóm chức năng.</x:v>
      </x:c>
      <x:c r="F11" s="20" t="str">
        <x:v>Tài liệu yêu cầu PBL6.</x:v>
      </x:c>
    </x:row>
    <x:row r="12" s="21" customFormat="1" ht="58.5" customHeight="1">
      <x:c r="A12" s="16">
        <x:v>46323</x:v>
      </x:c>
      <x:c r="B12" s="17" t="str">
        <x:v>1.2</x:v>
      </x:c>
      <x:c r="C12" s="18" t="str">
        <x:v>Kết quả Round 1</x:v>
      </x:c>
      <x:c r="D12" s="18" t="str">
        <x:v>M</x:v>
      </x:c>
      <x:c r="E12" s="19" t="str">
        <x:v>Cập nhật kết quả kiểm thử lần 1; các ca chưa chạy được ghi nhận.</x:v>
      </x:c>
      <x:c r="F12" s="20" t="str">
        <x:v>Log kiểm thử Round 1.</x:v>
      </x:c>
    </x:row>
    <x:row r="13" s="21" customFormat="1" ht="76.5">
      <x:c r="A13" s="159" t="n">
        <x:v>46325</x:v>
      </x:c>
      <x:c r="B13" s="17" t="str">
        <x:v>2.0</x:v>
      </x:c>
      <x:c r="C13" s="18" t="str">
        <x:v>Kết quả Round 2</x:v>
      </x:c>
      <x:c r="D13" s="18" t="str">
        <x:v>M</x:v>
      </x:c>
      <x:c r="E13" s="18" t="str">
        <x:v>Cập nhật kết quả API Round 2 từ 72 Postman collection; giữ nguyên toàn bộ assertion fail để bảo đảm minh bạch.</x:v>
      </x:c>
      <x:c r="F13" s="117" t="str">
        <x:v>outputs/pbl6-round2/round2-summary.json</x:v>
      </x:c>
    </x:row>
    <x:row r="14" s="21" customFormat="1" ht="21.75" customHeight="1">
      <x:c r="A14" s="22"/>
      <x:c r="B14" s="23"/>
      <x:c r="C14" s="24"/>
      <x:c r="D14" s="24"/>
      <x:c r="E14" s="24"/>
      <x:c r="F14" s="25"/>
    </x:row>
    <x:row r="15" s="21" customFormat="1" ht="19.5" customHeight="1">
      <x:c r="A15" s="22"/>
      <x:c r="B15" s="23"/>
      <x:c r="C15" s="24"/>
      <x:c r="D15" s="24"/>
      <x:c r="E15" s="24"/>
      <x:c r="F15" s="25"/>
    </x:row>
    <x:row r="16" s="21" customFormat="1" ht="21.75" customHeight="1">
      <x:c r="A16" s="22"/>
      <x:c r="B16" s="23"/>
      <x:c r="C16" s="24"/>
      <x:c r="D16" s="24"/>
      <x:c r="E16" s="24"/>
      <x:c r="F16" s="25"/>
    </x:row>
    <x:row r="17" s="21" customFormat="1" ht="19.5" customHeight="1">
      <x:c r="A17" s="26"/>
      <x:c r="B17" s="27"/>
      <x:c r="C17" s="28"/>
      <x:c r="D17" s="28"/>
      <x:c r="E17" s="28"/>
      <x:c r="F17" s="29"/>
    </x:row>
  </x:sheetData>
  <x:mergeCells>
    <x:mergeCell ref="B2:F2"/>
    <x:mergeCell ref="B6:D6"/>
    <x:mergeCell ref="B5:D5"/>
    <x:mergeCell ref="B4:D4"/>
  </x:mergeCells>
  <x:pageMargins left="0.7" right="0.7" top="0.75" bottom="0.75" header="0.3" footer="0.3"/>
  <x:legacyDrawing xmlns:r="http://schemas.openxmlformats.org/officeDocument/2006/relationships" r:id="R9aa051fe58cb44ef"/>
</x:worksheet>
</file>

<file path=xl/worksheets/sheet2.xml><?xml version="1.0" encoding="utf-8"?>
<x:worksheet xmlns:x="http://schemas.openxmlformats.org/spreadsheetml/2006/main">
  <x:sheetFormatPr defaultColWidth="9" defaultRowHeight="12.75"/>
  <x:cols>
    <x:col min="1" max="1" width="1.375" style="7" customWidth="1"/>
    <x:col min="2" max="2" width="11.75" style="30" customWidth="1"/>
    <x:col min="3" max="3" width="26.5" style="31" customWidth="1"/>
    <x:col min="4" max="4" width="26" style="31" customWidth="1"/>
    <x:col min="5" max="5" width="34" style="31" customWidth="1"/>
    <x:col min="6" max="6" width="30.625" style="31" customWidth="1"/>
    <x:col min="7" max="7" width="9" style="7" customWidth="1"/>
    <x:col min="8" max="16384" width="9" style="7" customWidth="0"/>
  </x:cols>
  <x:sheetData>
    <x:row r="1" ht="24" customHeight="1">
      <x:c r="B1" s="32"/>
      <x:c r="D1" s="33" t="s">
        <x:v>4</x:v>
      </x:c>
      <x:c r="E1" s="34"/>
    </x:row>
    <x:row r="2" ht="13.5" customHeight="1">
      <x:c r="B2" s="32"/>
      <x:c r="D2" s="35"/>
      <x:c r="E2" s="35"/>
    </x:row>
    <x:row r="3" ht="12.75" customHeight="1">
      <x:c r="B3" s="125" t="s">
        <x:v>5</x:v>
      </x:c>
      <x:c r="C3" s="120"/>
      <x:c r="D3" s="127" t="str">
        <x:f>Cover!B4</x:f>
        <x:v>Nền tảng đặt vé xe trực tuyến</x:v>
      </x:c>
      <x:c r="E3" s="120"/>
      <x:c r="F3" s="121"/>
    </x:row>
    <x:row r="4" ht="12.75" customHeight="1">
      <x:c r="B4" s="125" t="s">
        <x:v>6</x:v>
      </x:c>
      <x:c r="C4" s="120"/>
      <x:c r="D4" s="127" t="str">
        <x:f>Cover!B5</x:f>
        <x:v>PBL6</x:v>
      </x:c>
      <x:c r="E4" s="120"/>
      <x:c r="F4" s="121"/>
    </x:row>
    <x:row r="5" s="36" customFormat="1" ht="174.75" customHeight="1">
      <x:c r="B5" s="126" t="s">
        <x:v>7</x:v>
      </x:c>
      <x:c r="C5" s="121"/>
      <x:c r="D5" s="124" t="s">
        <x:v>8</x:v>
      </x:c>
      <x:c r="E5" s="120"/>
      <x:c r="F5" s="121"/>
    </x:row>
    <x:row r="6" ht="12.75" customHeight="1">
      <x:c r="B6" s="38"/>
      <x:c r="C6" s="7"/>
      <x:c r="D6" s="7"/>
      <x:c r="E6" s="7"/>
      <x:c r="F6" s="7"/>
    </x:row>
    <x:row r="7" s="39" customFormat="1" ht="12.75" customHeight="1">
      <x:c r="B7" s="40"/>
      <x:c r="C7" s="41"/>
      <x:c r="D7" s="41"/>
      <x:c r="E7" s="41"/>
      <x:c r="F7" s="41"/>
    </x:row>
    <x:row r="8" s="42" customFormat="1" ht="21" customHeight="1">
      <x:c r="B8" s="43" t="s">
        <x:v>9</x:v>
      </x:c>
      <x:c r="C8" s="44" t="s">
        <x:v>10</x:v>
      </x:c>
      <x:c r="D8" s="44" t="s">
        <x:v>11</x:v>
      </x:c>
      <x:c r="E8" s="45" t="s">
        <x:v>12</x:v>
      </x:c>
      <x:c r="F8" s="46" t="s">
        <x:v>13</x:v>
      </x:c>
    </x:row>
    <x:row r="9" ht="30" customHeight="1">
      <x:c r="B9" s="47">
        <x:v>1</x:v>
      </x:c>
      <x:c r="C9" s="48" t="s">
        <x:v>14</x:v>
      </x:c>
      <x:c r="D9" s="49" t="s">
        <x:v>15</x:v>
      </x:c>
      <x:c r="E9" s="50" t="s">
        <x:v>16</x:v>
      </x:c>
      <x:c r="F9" s="51" t="s">
        <x:v>17</x:v>
      </x:c>
    </x:row>
    <x:row r="10" ht="30" customHeight="1">
      <x:c r="B10" s="47">
        <x:v>2</x:v>
      </x:c>
      <x:c r="C10" s="48" t="s">
        <x:v>18</x:v>
      </x:c>
      <x:c r="D10" s="49" t="s">
        <x:v>15</x:v>
      </x:c>
      <x:c r="E10" s="50" t="s">
        <x:v>19</x:v>
      </x:c>
      <x:c r="F10" s="51" t="s">
        <x:v>20</x:v>
      </x:c>
    </x:row>
    <x:row r="11" ht="30" customHeight="1">
      <x:c r="B11" s="47">
        <x:v>3</x:v>
      </x:c>
      <x:c r="C11" s="48" t="s">
        <x:v>21</x:v>
      </x:c>
      <x:c r="D11" s="49" t="s">
        <x:v>15</x:v>
      </x:c>
      <x:c r="E11" s="50" t="s">
        <x:v>22</x:v>
      </x:c>
      <x:c r="F11" s="51" t="s">
        <x:v>23</x:v>
      </x:c>
    </x:row>
    <x:row r="12" ht="30" customHeight="1">
      <x:c r="B12" s="47">
        <x:v>4</x:v>
      </x:c>
      <x:c r="C12" s="48" t="s">
        <x:v>24</x:v>
      </x:c>
      <x:c r="D12" s="49" t="s">
        <x:v>15</x:v>
      </x:c>
      <x:c r="E12" s="50" t="s">
        <x:v>25</x:v>
      </x:c>
      <x:c r="F12" s="51" t="s">
        <x:v>26</x:v>
      </x:c>
    </x:row>
    <x:row r="13" ht="30" customHeight="1">
      <x:c r="B13" s="47">
        <x:v>5</x:v>
      </x:c>
      <x:c r="C13" s="48" t="s">
        <x:v>27</x:v>
      </x:c>
      <x:c r="D13" s="49" t="s">
        <x:v>15</x:v>
      </x:c>
      <x:c r="E13" s="50" t="s">
        <x:v>28</x:v>
      </x:c>
      <x:c r="F13" s="51" t="s">
        <x:v>29</x:v>
      </x:c>
    </x:row>
    <x:row r="14" ht="30" customHeight="1">
      <x:c r="B14" s="47">
        <x:v>6</x:v>
      </x:c>
      <x:c r="C14" s="48" t="s">
        <x:v>30</x:v>
      </x:c>
      <x:c r="D14" s="49" t="s">
        <x:v>15</x:v>
      </x:c>
      <x:c r="E14" s="50" t="s">
        <x:v>31</x:v>
      </x:c>
      <x:c r="F14" s="51" t="s">
        <x:v>32</x:v>
      </x:c>
    </x:row>
    <x:row r="15" ht="30" customHeight="1">
      <x:c r="B15" s="47">
        <x:v>7</x:v>
      </x:c>
      <x:c r="C15" s="48" t="s">
        <x:v>33</x:v>
      </x:c>
      <x:c r="D15" s="49" t="s">
        <x:v>15</x:v>
      </x:c>
      <x:c r="E15" s="50" t="s">
        <x:v>34</x:v>
      </x:c>
      <x:c r="F15" s="51" t="s">
        <x:v>35</x:v>
      </x:c>
    </x:row>
    <x:row r="16" ht="30" customHeight="1">
      <x:c r="B16" s="47">
        <x:v>8</x:v>
      </x:c>
      <x:c r="C16" s="48" t="s">
        <x:v>36</x:v>
      </x:c>
      <x:c r="D16" s="49" t="s">
        <x:v>15</x:v>
      </x:c>
      <x:c r="E16" s="50" t="s">
        <x:v>37</x:v>
      </x:c>
      <x:c r="F16" s="51" t="s">
        <x:v>26</x:v>
      </x:c>
    </x:row>
    <x:row r="17" ht="30" customHeight="1">
      <x:c r="B17" s="47">
        <x:v>9</x:v>
      </x:c>
      <x:c r="C17" s="48" t="s">
        <x:v>38</x:v>
      </x:c>
      <x:c r="D17" s="49" t="s">
        <x:v>39</x:v>
      </x:c>
      <x:c r="E17" s="50" t="s">
        <x:v>40</x:v>
      </x:c>
      <x:c r="F17" s="51" t="s">
        <x:v>41</x:v>
      </x:c>
    </x:row>
    <x:row r="18" ht="30" customHeight="1">
      <x:c r="B18" s="47">
        <x:v>10</x:v>
      </x:c>
      <x:c r="C18" s="48" t="s">
        <x:v>42</x:v>
      </x:c>
      <x:c r="D18" s="49" t="s">
        <x:v>39</x:v>
      </x:c>
      <x:c r="E18" s="50" t="s">
        <x:v>43</x:v>
      </x:c>
      <x:c r="F18" s="51" t="s">
        <x:v>44</x:v>
      </x:c>
    </x:row>
    <x:row r="19" ht="30" customHeight="1">
      <x:c r="B19" s="47">
        <x:v>11</x:v>
      </x:c>
      <x:c r="C19" s="48" t="s">
        <x:v>45</x:v>
      </x:c>
      <x:c r="D19" s="49" t="s">
        <x:v>39</x:v>
      </x:c>
      <x:c r="E19" s="50" t="s">
        <x:v>46</x:v>
      </x:c>
      <x:c r="F19" s="51" t="s">
        <x:v>47</x:v>
      </x:c>
    </x:row>
    <x:row r="20" ht="30" customHeight="1">
      <x:c r="B20" s="47">
        <x:v>12</x:v>
      </x:c>
      <x:c r="C20" s="48" t="s">
        <x:v>48</x:v>
      </x:c>
      <x:c r="D20" s="49" t="s">
        <x:v>39</x:v>
      </x:c>
      <x:c r="E20" s="50" t="s">
        <x:v>49</x:v>
      </x:c>
      <x:c r="F20" s="51" t="s">
        <x:v>50</x:v>
      </x:c>
    </x:row>
    <x:row r="21" ht="30" customHeight="1">
      <x:c r="B21" s="47">
        <x:v>13</x:v>
      </x:c>
      <x:c r="C21" s="48" t="s">
        <x:v>51</x:v>
      </x:c>
      <x:c r="D21" s="49" t="s">
        <x:v>39</x:v>
      </x:c>
      <x:c r="E21" s="50" t="s">
        <x:v>52</x:v>
      </x:c>
      <x:c r="F21" s="51" t="s">
        <x:v>50</x:v>
      </x:c>
    </x:row>
    <x:row r="22" ht="30" customHeight="1">
      <x:c r="B22" s="47">
        <x:v>14</x:v>
      </x:c>
      <x:c r="C22" s="48" t="s">
        <x:v>53</x:v>
      </x:c>
      <x:c r="D22" s="49" t="s">
        <x:v>39</x:v>
      </x:c>
      <x:c r="E22" s="50" t="s">
        <x:v>54</x:v>
      </x:c>
      <x:c r="F22" s="51" t="s">
        <x:v>50</x:v>
      </x:c>
    </x:row>
    <x:row r="23" ht="30" customHeight="1">
      <x:c r="B23" s="47">
        <x:v>15</x:v>
      </x:c>
      <x:c r="C23" s="48" t="s">
        <x:v>55</x:v>
      </x:c>
      <x:c r="D23" s="49" t="s">
        <x:v>39</x:v>
      </x:c>
      <x:c r="E23" s="50" t="s">
        <x:v>56</x:v>
      </x:c>
      <x:c r="F23" s="51" t="s">
        <x:v>50</x:v>
      </x:c>
    </x:row>
    <x:row r="24" ht="43.5" customHeight="1">
      <x:c r="B24" s="47">
        <x:v>16</x:v>
      </x:c>
      <x:c r="C24" s="48" t="s">
        <x:v>57</x:v>
      </x:c>
      <x:c r="D24" s="49" t="s">
        <x:v>39</x:v>
      </x:c>
      <x:c r="E24" s="50" t="s">
        <x:v>58</x:v>
      </x:c>
      <x:c r="F24" s="51" t="s">
        <x:v>59</x:v>
      </x:c>
    </x:row>
    <x:row r="25" ht="43.5" customHeight="1">
      <x:c r="B25" s="47">
        <x:v>17</x:v>
      </x:c>
      <x:c r="C25" s="48" t="s">
        <x:v>60</x:v>
      </x:c>
      <x:c r="D25" s="49" t="s">
        <x:v>39</x:v>
      </x:c>
      <x:c r="E25" s="50" t="s">
        <x:v>61</x:v>
      </x:c>
      <x:c r="F25" s="51" t="s">
        <x:v>62</x:v>
      </x:c>
    </x:row>
    <x:row r="26" ht="43.5" customHeight="1">
      <x:c r="B26" s="47">
        <x:v>18</x:v>
      </x:c>
      <x:c r="C26" s="48" t="s">
        <x:v>63</x:v>
      </x:c>
      <x:c r="D26" s="49" t="s">
        <x:v>39</x:v>
      </x:c>
      <x:c r="E26" s="50" t="s">
        <x:v>64</x:v>
      </x:c>
      <x:c r="F26" s="51" t="s">
        <x:v>65</x:v>
      </x:c>
    </x:row>
    <x:row r="27" ht="43.5" customHeight="1">
      <x:c r="B27" s="47">
        <x:v>19</x:v>
      </x:c>
      <x:c r="C27" s="48" t="s">
        <x:v>66</x:v>
      </x:c>
      <x:c r="D27" s="49" t="s">
        <x:v>67</x:v>
      </x:c>
      <x:c r="E27" s="50" t="s">
        <x:v>68</x:v>
      </x:c>
      <x:c r="F27" s="51" t="s">
        <x:v>69</x:v>
      </x:c>
    </x:row>
    <x:row r="28" ht="43.5" customHeight="1">
      <x:c r="B28" s="47">
        <x:v>20</x:v>
      </x:c>
      <x:c r="C28" s="48" t="s">
        <x:v>70</x:v>
      </x:c>
      <x:c r="D28" s="49" t="s">
        <x:v>67</x:v>
      </x:c>
      <x:c r="E28" s="50" t="s">
        <x:v>71</x:v>
      </x:c>
      <x:c r="F28" s="51" t="s">
        <x:v>72</x:v>
      </x:c>
    </x:row>
    <x:row r="29" ht="30" customHeight="1">
      <x:c r="B29" s="47">
        <x:v>21</x:v>
      </x:c>
      <x:c r="C29" s="48" t="s">
        <x:v>73</x:v>
      </x:c>
      <x:c r="D29" s="49" t="s">
        <x:v>67</x:v>
      </x:c>
      <x:c r="E29" s="50" t="s">
        <x:v>74</x:v>
      </x:c>
      <x:c r="F29" s="51" t="s">
        <x:v>29</x:v>
      </x:c>
    </x:row>
    <x:row r="30" ht="43.5" customHeight="1">
      <x:c r="B30" s="47">
        <x:v>22</x:v>
      </x:c>
      <x:c r="C30" s="48" t="s">
        <x:v>75</x:v>
      </x:c>
      <x:c r="D30" s="49" t="s">
        <x:v>67</x:v>
      </x:c>
      <x:c r="E30" s="50" t="s">
        <x:v>76</x:v>
      </x:c>
      <x:c r="F30" s="51" t="s">
        <x:v>77</x:v>
      </x:c>
    </x:row>
    <x:row r="31" ht="43.5" customHeight="1">
      <x:c r="B31" s="47">
        <x:v>23</x:v>
      </x:c>
      <x:c r="C31" s="48" t="s">
        <x:v>78</x:v>
      </x:c>
      <x:c r="D31" s="49" t="s">
        <x:v>67</x:v>
      </x:c>
      <x:c r="E31" s="50" t="s">
        <x:v>79</x:v>
      </x:c>
      <x:c r="F31" s="51" t="s">
        <x:v>77</x:v>
      </x:c>
    </x:row>
    <x:row r="32" ht="43.5" customHeight="1">
      <x:c r="B32" s="47">
        <x:v>24</x:v>
      </x:c>
      <x:c r="C32" s="48" t="s">
        <x:v>80</x:v>
      </x:c>
      <x:c r="D32" s="49" t="s">
        <x:v>67</x:v>
      </x:c>
      <x:c r="E32" s="50" t="s">
        <x:v>81</x:v>
      </x:c>
      <x:c r="F32" s="51" t="s">
        <x:v>77</x:v>
      </x:c>
    </x:row>
    <x:row r="33" ht="43.5" customHeight="1">
      <x:c r="B33" s="47">
        <x:v>25</x:v>
      </x:c>
      <x:c r="C33" s="48" t="s">
        <x:v>82</x:v>
      </x:c>
      <x:c r="D33" s="49" t="s">
        <x:v>67</x:v>
      </x:c>
      <x:c r="E33" s="50" t="s">
        <x:v>83</x:v>
      </x:c>
      <x:c r="F33" s="51" t="s">
        <x:v>84</x:v>
      </x:c>
    </x:row>
    <x:row r="34" ht="30" customHeight="1">
      <x:c r="B34" s="47">
        <x:v>26</x:v>
      </x:c>
      <x:c r="C34" s="48" t="s">
        <x:v>85</x:v>
      </x:c>
      <x:c r="D34" s="49" t="s">
        <x:v>67</x:v>
      </x:c>
      <x:c r="E34" s="50" t="s">
        <x:v>86</x:v>
      </x:c>
      <x:c r="F34" s="51" t="s">
        <x:v>32</x:v>
      </x:c>
    </x:row>
    <x:row r="35" ht="43.5" customHeight="1">
      <x:c r="B35" s="47">
        <x:v>27</x:v>
      </x:c>
      <x:c r="C35" s="48" t="s">
        <x:v>87</x:v>
      </x:c>
      <x:c r="D35" s="49" t="s">
        <x:v>67</x:v>
      </x:c>
      <x:c r="E35" s="50" t="s">
        <x:v>88</x:v>
      </x:c>
      <x:c r="F35" s="51" t="s">
        <x:v>29</x:v>
      </x:c>
    </x:row>
    <x:row r="36" ht="30" customHeight="1">
      <x:c r="B36" s="47">
        <x:v>28</x:v>
      </x:c>
      <x:c r="C36" s="48" t="s">
        <x:v>89</x:v>
      </x:c>
      <x:c r="D36" s="49" t="s">
        <x:v>90</x:v>
      </x:c>
      <x:c r="E36" s="50" t="s">
        <x:v>91</x:v>
      </x:c>
      <x:c r="F36" s="51" t="s">
        <x:v>29</x:v>
      </x:c>
    </x:row>
    <x:row r="37" ht="43.5" customHeight="1">
      <x:c r="B37" s="47">
        <x:v>29</x:v>
      </x:c>
      <x:c r="C37" s="48" t="s">
        <x:v>92</x:v>
      </x:c>
      <x:c r="D37" s="49" t="s">
        <x:v>90</x:v>
      </x:c>
      <x:c r="E37" s="50" t="s">
        <x:v>93</x:v>
      </x:c>
      <x:c r="F37" s="51" t="s">
        <x:v>94</x:v>
      </x:c>
    </x:row>
    <x:row r="38" ht="30" customHeight="1">
      <x:c r="B38" s="47">
        <x:v>30</x:v>
      </x:c>
      <x:c r="C38" s="48" t="s">
        <x:v>95</x:v>
      </x:c>
      <x:c r="D38" s="49" t="s">
        <x:v>90</x:v>
      </x:c>
      <x:c r="E38" s="50" t="s">
        <x:v>96</x:v>
      </x:c>
      <x:c r="F38" s="51" t="s">
        <x:v>32</x:v>
      </x:c>
    </x:row>
    <x:row r="39" ht="30" customHeight="1">
      <x:c r="B39" s="47">
        <x:v>31</x:v>
      </x:c>
      <x:c r="C39" s="48" t="s">
        <x:v>97</x:v>
      </x:c>
      <x:c r="D39" s="49" t="s">
        <x:v>98</x:v>
      </x:c>
      <x:c r="E39" s="50" t="s">
        <x:v>99</x:v>
      </x:c>
      <x:c r="F39" s="51" t="s">
        <x:v>29</x:v>
      </x:c>
    </x:row>
    <x:row r="40" ht="43.5" customHeight="1">
      <x:c r="B40" s="47">
        <x:v>32</x:v>
      </x:c>
      <x:c r="C40" s="48" t="s">
        <x:v>100</x:v>
      </x:c>
      <x:c r="D40" s="49" t="s">
        <x:v>101</x:v>
      </x:c>
      <x:c r="E40" s="50" t="s">
        <x:v>102</x:v>
      </x:c>
      <x:c r="F40" s="51" t="s">
        <x:v>32</x:v>
      </x:c>
    </x:row>
    <x:row r="41" ht="30" customHeight="1">
      <x:c r="B41" s="47">
        <x:v>33</x:v>
      </x:c>
      <x:c r="C41" s="48" t="s">
        <x:v>103</x:v>
      </x:c>
      <x:c r="D41" s="49" t="s">
        <x:v>101</x:v>
      </x:c>
      <x:c r="E41" s="50" t="s">
        <x:v>104</x:v>
      </x:c>
      <x:c r="F41" s="51" t="s">
        <x:v>32</x:v>
      </x:c>
    </x:row>
  </x:sheetData>
  <x:mergeCells>
    <x:mergeCell ref="D5:F5"/>
    <x:mergeCell ref="B3:C3"/>
    <x:mergeCell ref="B5:C5"/>
    <x:mergeCell ref="D4:F4"/>
    <x:mergeCell ref="D3:F3"/>
    <x:mergeCell ref="B4:C4"/>
  </x:mergeCells>
  <x:hyperlinks>
    <x:hyperlink ref="D9" location="Auth_Service!A1"/>
    <x:hyperlink ref="D10" location="Auth_Service!A1"/>
    <x:hyperlink ref="D11" location="Auth_Service!A1"/>
    <x:hyperlink ref="D12" location="Auth_Service!A1"/>
    <x:hyperlink ref="D13" location="Auth_Service!A1"/>
    <x:hyperlink ref="D14" location="Auth_Service!A1"/>
    <x:hyperlink ref="D15" location="Auth_Service!A1"/>
    <x:hyperlink ref="D16" location="Auth_Service!A1"/>
    <x:hyperlink ref="D17" location="Trip_Service!A1"/>
    <x:hyperlink ref="D18" location="Trip_Service!A1"/>
    <x:hyperlink ref="D19" location="Trip_Service!A1"/>
    <x:hyperlink ref="D20" location="Trip_Service!A1"/>
    <x:hyperlink ref="D21" location="Trip_Service!A1"/>
    <x:hyperlink ref="D22" location="Trip_Service!A1"/>
    <x:hyperlink ref="D23" location="Trip_Service!A1"/>
    <x:hyperlink ref="D24" location="Trip_Service!A1"/>
    <x:hyperlink ref="D25" location="Trip_Service!A1"/>
    <x:hyperlink ref="D26" location="Trip_Service!A1"/>
    <x:hyperlink ref="D27" location="Booking_Service!A1"/>
    <x:hyperlink ref="D28" location="Booking_Service!A1"/>
    <x:hyperlink ref="D29" location="Booking_Service!A1"/>
    <x:hyperlink ref="D30" location="Booking_Service!A1"/>
    <x:hyperlink ref="D31" location="Booking_Service!A1"/>
    <x:hyperlink ref="D32" location="Booking_Service!A1"/>
    <x:hyperlink ref="D33" location="Booking_Service!A1"/>
    <x:hyperlink ref="D34" location="Booking_Service!A1"/>
    <x:hyperlink ref="D35" location="Booking_Service!A1"/>
    <x:hyperlink ref="D36" location="Payment_Service!A1"/>
    <x:hyperlink ref="D37" location="Payment_Service!A1"/>
    <x:hyperlink ref="D38" location="Payment_Service!A1"/>
    <x:hyperlink ref="D39" location="Notification_Service!A1"/>
    <x:hyperlink ref="D40" location="Report_Service!A1"/>
    <x:hyperlink ref="D41" location="Report_Service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2.75"/>
  <x:cols>
    <x:col min="1" max="1" width="4.5" style="7" customWidth="1"/>
    <x:col min="2" max="2" width="18.375" style="7" customWidth="1"/>
    <x:col min="3" max="3" width="19.375" style="7" customWidth="1"/>
    <x:col min="4" max="6" width="11.625" style="7" customWidth="1"/>
    <x:col min="7" max="7" width="9" style="7" customWidth="1"/>
    <x:col min="8" max="8" width="35.5" style="7" customWidth="1"/>
    <x:col min="9" max="9" width="33.125" style="7" customWidth="1"/>
    <x:col min="10" max="10" width="9" style="7" customWidth="1"/>
    <x:col min="11" max="16384" width="9" style="7" customWidth="0"/>
  </x:cols>
  <x:sheetData>
    <x:row r="1" ht="25.5" customHeight="1">
      <x:c r="B1" s="131" t="str">
        <x:v>TỔNG HỢP KẾT QUẢ KIỂM THỬ</x:v>
      </x:c>
      <x:c r="C1" s="132"/>
      <x:c r="D1" s="132"/>
      <x:c r="E1" s="132"/>
      <x:c r="F1" s="132"/>
      <x:c r="G1" s="132"/>
      <x:c r="H1" s="132"/>
    </x:row>
    <x:row r="2" ht="14.25" customHeight="1">
      <x:c r="A2" s="52"/>
      <x:c r="B2" s="52"/>
      <x:c r="H2" s="53"/>
    </x:row>
    <x:row r="3" ht="12" customHeight="1">
      <x:c r="B3" s="54" t="str">
        <x:v>Tên dự án</x:v>
      </x:c>
      <x:c r="C3" s="127" t="str">
        <x:f>Cover!B4</x:f>
        <x:v>Nền tảng đặt vé xe trực tuyến</x:v>
      </x:c>
      <x:c r="D3" s="121"/>
      <x:c r="E3" s="128" t="str">
        <x:v>Người thực hiện</x:v>
      </x:c>
      <x:c r="F3" s="121"/>
      <x:c r="G3" s="55"/>
      <x:c r="H3" s="56" t="str">
        <x:v>Minh Trí</x:v>
      </x:c>
    </x:row>
    <x:row r="4" ht="12" customHeight="1">
      <x:c r="B4" s="54" t="str">
        <x:v>Mã dự án</x:v>
      </x:c>
      <x:c r="C4" s="127" t="str">
        <x:f>Cover!B5</x:f>
        <x:v>PBL6</x:v>
      </x:c>
      <x:c r="D4" s="121"/>
      <x:c r="E4" s="128" t="str">
        <x:v>Người xem xét / phê duyệt</x:v>
      </x:c>
      <x:c r="F4" s="121"/>
      <x:c r="G4" s="55"/>
      <x:c r="H4" s="56"/>
    </x:row>
    <x:row r="5" ht="12" customHeight="1">
      <x:c r="B5" s="57" t="str">
        <x:v>Mã tài liệu</x:v>
      </x:c>
      <x:c r="C5" s="127" t="str">
        <x:v>PBL6_API_TestReport_v1.5</x:v>
      </x:c>
      <x:c r="D5" s="121"/>
      <x:c r="E5" s="128" t="str">
        <x:v>Ngày cập nhật</x:v>
      </x:c>
      <x:c r="F5" s="121"/>
      <x:c r="G5" s="55"/>
      <x:c r="H5" s="58" t="n">
        <x:f>Cover!F5</x:f>
        <x:v>46325</x:v>
      </x:c>
    </x:row>
    <x:row r="6" ht="57.95000076293945" customHeight="1">
      <x:c r="A6" s="52"/>
      <x:c r="B6" s="57" t="str">
        <x:v>Ghi chú</x:v>
      </x:c>
      <x:c r="C6" s="124" t="str">
        <x:v>Round 1, 2 và 3 được tổng hợp theo tiến độ. Kết quả đã có được giữ lại nếu ca chưa chạy lại ở vòng sau. Pending: chưa đủ điều kiện hoặc minh chứng; N/A: chức năng chưa có trong dự án.</x:v>
      </x:c>
      <x:c r="D6" s="129"/>
      <x:c r="E6" s="129"/>
      <x:c r="F6" s="129"/>
      <x:c r="G6" s="129"/>
      <x:c r="H6" s="130"/>
    </x:row>
    <x:row r="7" ht="57.95000076293945" customHeight="1">
      <x:c r="A7" s="52"/>
      <x:c r="B7" s="59"/>
      <x:c r="C7" s="79"/>
      <x:c r="D7" s="110"/>
      <x:c r="E7" s="110"/>
      <x:c r="F7" s="110"/>
      <x:c r="G7" s="110"/>
      <x:c r="H7" s="111"/>
    </x:row>
    <x:row r="8" ht="12.75" customHeight="1">
      <x:c r="B8" s="59"/>
      <x:c r="C8" s="60"/>
      <x:c r="H8" s="53"/>
    </x:row>
    <x:row r="9" ht="15">
      <x:c r="B9" s="118" t="str">
        <x:v>Kết quả mới nhất — Round 2 (2026-10-30)</x:v>
      </x:c>
    </x:row>
    <x:row r="10" ht="12.75" customHeight="1">
      <x:c r="A10" s="61"/>
      <x:c r="B10" s="62" t="str">
        <x:v>STT</x:v>
      </x:c>
      <x:c r="C10" s="63" t="str">
        <x:v>Module</x:v>
      </x:c>
      <x:c r="D10" s="64" t="str">
        <x:v>Đạt</x:v>
      </x:c>
      <x:c r="E10" s="63" t="str">
        <x:v>Lỗi</x:v>
      </x:c>
      <x:c r="F10" s="63" t="str">
        <x:v>Chưa xong</x:v>
      </x:c>
      <x:c r="G10" s="65" t="str">
        <x:v>N/A</x:v>
      </x:c>
      <x:c r="H10" s="66" t="str">
        <x:v>Số ca kiểm thử</x:v>
      </x:c>
    </x:row>
    <x:row r="11" ht="30" customHeight="1">
      <x:c r="A11" s="61"/>
      <x:c r="B11" s="67" t="n">
        <x:v>1</x:v>
      </x:c>
      <x:c r="C11" s="68" t="str">
        <x:v>Auth Service</x:v>
      </x:c>
      <x:c r="D11" s="69" t="n">
        <x:v>33</x:v>
      </x:c>
      <x:c r="E11" s="69" t="n">
        <x:v>3</x:v>
      </x:c>
      <x:c r="F11" s="69" t="n">
        <x:v>2</x:v>
      </x:c>
      <x:c r="G11" s="69" t="n">
        <x:v>0</x:v>
      </x:c>
      <x:c r="H11" s="70" t="n">
        <x:v>38</x:v>
      </x:c>
    </x:row>
    <x:row r="12" ht="30" customHeight="1">
      <x:c r="A12" s="61"/>
      <x:c r="B12" s="67" t="n">
        <x:v>2</x:v>
      </x:c>
      <x:c r="C12" s="68" t="str">
        <x:v>Trip Service</x:v>
      </x:c>
      <x:c r="D12" s="69" t="n">
        <x:v>31</x:v>
      </x:c>
      <x:c r="E12" s="69" t="n">
        <x:v>4</x:v>
      </x:c>
      <x:c r="F12" s="69" t="n">
        <x:v>2</x:v>
      </x:c>
      <x:c r="G12" s="69" t="n">
        <x:v>0</x:v>
      </x:c>
      <x:c r="H12" s="70" t="n">
        <x:v>37</x:v>
      </x:c>
    </x:row>
    <x:row r="13" ht="30" customHeight="1">
      <x:c r="A13" s="61"/>
      <x:c r="B13" s="67" t="n">
        <x:v>3</x:v>
      </x:c>
      <x:c r="C13" s="68" t="str">
        <x:v>Booking Service</x:v>
      </x:c>
      <x:c r="D13" s="69" t="n">
        <x:v>23</x:v>
      </x:c>
      <x:c r="E13" s="69" t="n">
        <x:v>16</x:v>
      </x:c>
      <x:c r="F13" s="69" t="n">
        <x:v>5</x:v>
      </x:c>
      <x:c r="G13" s="69" t="n">
        <x:v>11</x:v>
      </x:c>
      <x:c r="H13" s="70" t="n">
        <x:v>55</x:v>
      </x:c>
    </x:row>
    <x:row r="14" ht="30" customHeight="1">
      <x:c r="A14" s="61"/>
      <x:c r="B14" s="67" t="n">
        <x:v>4</x:v>
      </x:c>
      <x:c r="C14" s="68" t="str">
        <x:v>Payment Service</x:v>
      </x:c>
      <x:c r="D14" s="69" t="n">
        <x:v>4</x:v>
      </x:c>
      <x:c r="E14" s="69" t="n">
        <x:v>7</x:v>
      </x:c>
      <x:c r="F14" s="69" t="n">
        <x:v>2</x:v>
      </x:c>
      <x:c r="G14" s="69" t="n">
        <x:v>0</x:v>
      </x:c>
      <x:c r="H14" s="70" t="n">
        <x:v>13</x:v>
      </x:c>
    </x:row>
    <x:row r="15" ht="30" customHeight="1">
      <x:c r="B15" s="67" t="n">
        <x:v>5</x:v>
      </x:c>
      <x:c r="C15" s="68" t="str">
        <x:v>Notification Service</x:v>
      </x:c>
      <x:c r="D15" s="69" t="n">
        <x:v>0</x:v>
      </x:c>
      <x:c r="E15" s="69" t="n">
        <x:v>1</x:v>
      </x:c>
      <x:c r="F15" s="69" t="n">
        <x:v>0</x:v>
      </x:c>
      <x:c r="G15" s="69" t="n">
        <x:v>2</x:v>
      </x:c>
      <x:c r="H15" s="70" t="n">
        <x:v>3</x:v>
      </x:c>
    </x:row>
    <x:row r="16" ht="30" customHeight="1">
      <x:c r="B16" s="67" t="n">
        <x:v>6</x:v>
      </x:c>
      <x:c r="C16" s="68" t="str">
        <x:v>Report Service</x:v>
      </x:c>
      <x:c r="D16" s="69" t="n">
        <x:v>4</x:v>
      </x:c>
      <x:c r="E16" s="69" t="n">
        <x:v>0</x:v>
      </x:c>
      <x:c r="F16" s="69" t="n">
        <x:v>0</x:v>
      </x:c>
      <x:c r="G16" s="69" t="n">
        <x:v>3</x:v>
      </x:c>
      <x:c r="H16" s="70" t="n">
        <x:v>7</x:v>
      </x:c>
    </x:row>
    <x:row r="18" ht="12.75" customHeight="1">
      <x:c r="B18" s="71"/>
      <x:c r="C18" s="72" t="str">
        <x:v>Sub total</x:v>
      </x:c>
      <x:c r="D18" s="73" t="n">
        <x:v>95</x:v>
      </x:c>
      <x:c r="E18" s="73" t="n">
        <x:v>31</x:v>
      </x:c>
      <x:c r="F18" s="73" t="n">
        <x:v>11</x:v>
      </x:c>
      <x:c r="G18" s="73" t="n">
        <x:v>16</x:v>
      </x:c>
      <x:c r="H18" s="74" t="n">
        <x:v>153</x:v>
      </x:c>
    </x:row>
    <x:row r="20" ht="12.75" customHeight="1">
      <x:c r="C20" s="5" t="s">
        <x:v>105</x:v>
      </x:c>
      <x:c r="E20" s="158" t="n">
        <x:f>(D18+E18)/H18</x:f>
        <x:v>0.8235294117647058</x:v>
      </x:c>
      <x:c r="F20" s="7" t="s">
        <x:v>106</x:v>
      </x:c>
      <x:c r="H20" s="76"/>
    </x:row>
    <x:row r="21" ht="12.75" customHeight="1">
      <x:c r="C21" s="5" t="s">
        <x:v>107</x:v>
      </x:c>
      <x:c r="E21" s="158" t="n">
        <x:f>D18/H18</x:f>
        <x:v>0.6209150326797386</x:v>
      </x:c>
      <x:c r="F21" s="7" t="s">
        <x:v>106</x:v>
      </x:c>
      <x:c r="H21" s="76"/>
    </x:row>
    <x:row r="24" ht="15">
      <x:c r="B24" s="118" t="str">
        <x:v>Round 1 — Kiểm tra ban đầu</x:v>
      </x:c>
    </x:row>
    <x:row r="25">
      <x:c r="B25" s="62" t="str">
        <x:v>STT</x:v>
      </x:c>
      <x:c r="C25" s="63" t="str">
        <x:v>Module</x:v>
      </x:c>
      <x:c r="D25" s="64" t="str">
        <x:v>Đạt</x:v>
      </x:c>
      <x:c r="E25" s="63" t="str">
        <x:v>Lỗi</x:v>
      </x:c>
      <x:c r="F25" s="63" t="str">
        <x:v>Chưa xong</x:v>
      </x:c>
      <x:c r="G25" s="65" t="str">
        <x:v>N/A</x:v>
      </x:c>
      <x:c r="H25" s="66" t="str">
        <x:v>Số ca kiểm thử</x:v>
      </x:c>
    </x:row>
    <x:row r="26">
      <x:c r="B26" s="67" t="n">
        <x:v>1</x:v>
      </x:c>
      <x:c r="C26" s="68" t="str">
        <x:v>Auth Service</x:v>
      </x:c>
      <x:c r="D26" s="69" t="n">
        <x:v>27</x:v>
      </x:c>
      <x:c r="E26" s="69" t="n">
        <x:v>11</x:v>
      </x:c>
      <x:c r="F26" s="69" t="n">
        <x:v>0</x:v>
      </x:c>
      <x:c r="G26" s="69" t="n">
        <x:v>0</x:v>
      </x:c>
      <x:c r="H26" s="70" t="n">
        <x:v>38</x:v>
      </x:c>
    </x:row>
    <x:row r="27">
      <x:c r="B27" s="67" t="n">
        <x:v>2</x:v>
      </x:c>
      <x:c r="C27" s="68" t="str">
        <x:v>Trip Service</x:v>
      </x:c>
      <x:c r="D27" s="69" t="n">
        <x:v>26</x:v>
      </x:c>
      <x:c r="E27" s="69" t="n">
        <x:v>11</x:v>
      </x:c>
      <x:c r="F27" s="69" t="n">
        <x:v>0</x:v>
      </x:c>
      <x:c r="G27" s="69" t="n">
        <x:v>0</x:v>
      </x:c>
      <x:c r="H27" s="70" t="n">
        <x:v>37</x:v>
      </x:c>
    </x:row>
    <x:row r="28">
      <x:c r="B28" s="67" t="n">
        <x:v>3</x:v>
      </x:c>
      <x:c r="C28" s="68" t="str">
        <x:v>Booking Service</x:v>
      </x:c>
      <x:c r="D28" s="69" t="n">
        <x:v>18</x:v>
      </x:c>
      <x:c r="E28" s="69" t="n">
        <x:v>24</x:v>
      </x:c>
      <x:c r="F28" s="69" t="n">
        <x:v>2</x:v>
      </x:c>
      <x:c r="G28" s="69" t="n">
        <x:v>11</x:v>
      </x:c>
      <x:c r="H28" s="70" t="n">
        <x:v>55</x:v>
      </x:c>
    </x:row>
    <x:row r="29">
      <x:c r="B29" s="67" t="n">
        <x:v>4</x:v>
      </x:c>
      <x:c r="C29" s="68" t="str">
        <x:v>Payment Service</x:v>
      </x:c>
      <x:c r="D29" s="69" t="n">
        <x:v>5</x:v>
      </x:c>
      <x:c r="E29" s="69" t="n">
        <x:v>8</x:v>
      </x:c>
      <x:c r="F29" s="69" t="n">
        <x:v>0</x:v>
      </x:c>
      <x:c r="G29" s="69" t="n">
        <x:v>0</x:v>
      </x:c>
      <x:c r="H29" s="70" t="n">
        <x:v>13</x:v>
      </x:c>
    </x:row>
    <x:row r="30">
      <x:c r="B30" s="67" t="n">
        <x:v>5</x:v>
      </x:c>
      <x:c r="C30" s="68" t="str">
        <x:v>Notification Service</x:v>
      </x:c>
      <x:c r="D30" s="69" t="n">
        <x:v>1</x:v>
      </x:c>
      <x:c r="E30" s="69" t="n">
        <x:v>0</x:v>
      </x:c>
      <x:c r="F30" s="69" t="n">
        <x:v>0</x:v>
      </x:c>
      <x:c r="G30" s="69" t="n">
        <x:v>2</x:v>
      </x:c>
      <x:c r="H30" s="70" t="n">
        <x:v>3</x:v>
      </x:c>
    </x:row>
    <x:row r="31">
      <x:c r="B31" s="67" t="n">
        <x:v>6</x:v>
      </x:c>
      <x:c r="C31" s="68" t="str">
        <x:v>Report Service</x:v>
      </x:c>
      <x:c r="D31" s="69" t="n">
        <x:v>3</x:v>
      </x:c>
      <x:c r="E31" s="69" t="n">
        <x:v>1</x:v>
      </x:c>
      <x:c r="F31" s="69" t="n">
        <x:v>0</x:v>
      </x:c>
      <x:c r="G31" s="69" t="n">
        <x:v>3</x:v>
      </x:c>
      <x:c r="H31" s="70" t="n">
        <x:v>7</x:v>
      </x:c>
    </x:row>
    <x:row r="32">
      <x:c r="B32" s="71"/>
      <x:c r="C32" s="72" t="str">
        <x:v>Sub total</x:v>
      </x:c>
      <x:c r="D32" s="73" t="n">
        <x:v>80</x:v>
      </x:c>
      <x:c r="E32" s="73" t="n">
        <x:v>55</x:v>
      </x:c>
      <x:c r="F32" s="73" t="n">
        <x:v>2</x:v>
      </x:c>
      <x:c r="G32" s="73" t="n">
        <x:v>16</x:v>
      </x:c>
      <x:c r="H32" s="74" t="n">
        <x:v>153</x:v>
      </x:c>
    </x:row>
    <x:row r="34" ht="15">
      <x:c r="B34" s="118" t="str">
        <x:v>Round 2 — Kiểm tra bổ sung và hồi quy</x:v>
      </x:c>
    </x:row>
    <x:row r="35">
      <x:c r="B35" s="62" t="str">
        <x:v>STT</x:v>
      </x:c>
      <x:c r="C35" s="63" t="str">
        <x:v>Module</x:v>
      </x:c>
      <x:c r="D35" s="64" t="str">
        <x:v>Đạt</x:v>
      </x:c>
      <x:c r="E35" s="63" t="str">
        <x:v>Lỗi</x:v>
      </x:c>
      <x:c r="F35" s="63" t="str">
        <x:v>Chưa xong</x:v>
      </x:c>
      <x:c r="G35" s="65" t="str">
        <x:v>N/A</x:v>
      </x:c>
      <x:c r="H35" s="66" t="str">
        <x:v>Số ca kiểm thử</x:v>
      </x:c>
    </x:row>
    <x:row r="36">
      <x:c r="B36" s="67" t="n">
        <x:v>1</x:v>
      </x:c>
      <x:c r="C36" s="68" t="str">
        <x:v>Auth Service</x:v>
      </x:c>
      <x:c r="D36" s="69" t="n">
        <x:v>33</x:v>
      </x:c>
      <x:c r="E36" s="69" t="n">
        <x:v>3</x:v>
      </x:c>
      <x:c r="F36" s="69" t="n">
        <x:v>2</x:v>
      </x:c>
      <x:c r="G36" s="69" t="n">
        <x:v>0</x:v>
      </x:c>
      <x:c r="H36" s="70" t="n">
        <x:v>38</x:v>
      </x:c>
    </x:row>
    <x:row r="37">
      <x:c r="B37" s="67" t="n">
        <x:v>2</x:v>
      </x:c>
      <x:c r="C37" s="68" t="str">
        <x:v>Trip Service</x:v>
      </x:c>
      <x:c r="D37" s="69" t="n">
        <x:v>31</x:v>
      </x:c>
      <x:c r="E37" s="69" t="n">
        <x:v>4</x:v>
      </x:c>
      <x:c r="F37" s="69" t="n">
        <x:v>2</x:v>
      </x:c>
      <x:c r="G37" s="69" t="n">
        <x:v>0</x:v>
      </x:c>
      <x:c r="H37" s="70" t="n">
        <x:v>37</x:v>
      </x:c>
    </x:row>
    <x:row r="38">
      <x:c r="B38" s="67" t="n">
        <x:v>3</x:v>
      </x:c>
      <x:c r="C38" s="68" t="str">
        <x:v>Booking Service</x:v>
      </x:c>
      <x:c r="D38" s="69" t="n">
        <x:v>23</x:v>
      </x:c>
      <x:c r="E38" s="69" t="n">
        <x:v>16</x:v>
      </x:c>
      <x:c r="F38" s="69" t="n">
        <x:v>5</x:v>
      </x:c>
      <x:c r="G38" s="69" t="n">
        <x:v>11</x:v>
      </x:c>
      <x:c r="H38" s="70" t="n">
        <x:v>55</x:v>
      </x:c>
    </x:row>
    <x:row r="39">
      <x:c r="B39" s="67" t="n">
        <x:v>4</x:v>
      </x:c>
      <x:c r="C39" s="68" t="str">
        <x:v>Payment Service</x:v>
      </x:c>
      <x:c r="D39" s="69" t="n">
        <x:v>4</x:v>
      </x:c>
      <x:c r="E39" s="69" t="n">
        <x:v>7</x:v>
      </x:c>
      <x:c r="F39" s="69" t="n">
        <x:v>2</x:v>
      </x:c>
      <x:c r="G39" s="69" t="n">
        <x:v>0</x:v>
      </x:c>
      <x:c r="H39" s="70" t="n">
        <x:v>13</x:v>
      </x:c>
    </x:row>
    <x:row r="40">
      <x:c r="B40" s="67" t="n">
        <x:v>5</x:v>
      </x:c>
      <x:c r="C40" s="68" t="str">
        <x:v>Notification Service</x:v>
      </x:c>
      <x:c r="D40" s="69" t="n">
        <x:v>0</x:v>
      </x:c>
      <x:c r="E40" s="69" t="n">
        <x:v>1</x:v>
      </x:c>
      <x:c r="F40" s="69" t="n">
        <x:v>0</x:v>
      </x:c>
      <x:c r="G40" s="69" t="n">
        <x:v>2</x:v>
      </x:c>
      <x:c r="H40" s="70" t="n">
        <x:v>3</x:v>
      </x:c>
    </x:row>
    <x:row r="41">
      <x:c r="B41" s="67" t="n">
        <x:v>6</x:v>
      </x:c>
      <x:c r="C41" s="68" t="str">
        <x:v>Report Service</x:v>
      </x:c>
      <x:c r="D41" s="69" t="n">
        <x:v>4</x:v>
      </x:c>
      <x:c r="E41" s="69" t="n">
        <x:v>0</x:v>
      </x:c>
      <x:c r="F41" s="69" t="n">
        <x:v>0</x:v>
      </x:c>
      <x:c r="G41" s="69" t="n">
        <x:v>3</x:v>
      </x:c>
      <x:c r="H41" s="70" t="n">
        <x:v>7</x:v>
      </x:c>
    </x:row>
    <x:row r="42">
      <x:c r="B42" s="71"/>
      <x:c r="C42" s="72" t="str">
        <x:v>Sub total</x:v>
      </x:c>
      <x:c r="D42" s="73" t="n">
        <x:v>95</x:v>
      </x:c>
      <x:c r="E42" s="73" t="n">
        <x:v>31</x:v>
      </x:c>
      <x:c r="F42" s="73" t="n">
        <x:v>11</x:v>
      </x:c>
      <x:c r="G42" s="73" t="n">
        <x:v>16</x:v>
      </x:c>
      <x:c r="H42" s="74" t="n">
        <x:v>153</x:v>
      </x:c>
    </x:row>
    <x:row r="44" ht="15">
      <x:c r="B44" s="118"/>
    </x:row>
    <x:row r="45">
      <x:c r="B45" s="62"/>
      <x:c r="C45" s="63"/>
      <x:c r="D45" s="64"/>
      <x:c r="E45" s="63"/>
      <x:c r="F45" s="63"/>
      <x:c r="G45" s="65"/>
      <x:c r="H45" s="66"/>
    </x:row>
    <x:row r="46">
      <x:c r="B46" s="67"/>
      <x:c r="C46" s="68"/>
      <x:c r="D46" s="69"/>
      <x:c r="E46" s="69"/>
      <x:c r="F46" s="69"/>
      <x:c r="G46" s="69"/>
      <x:c r="H46" s="70"/>
    </x:row>
    <x:row r="47">
      <x:c r="B47" s="67"/>
      <x:c r="C47" s="68"/>
      <x:c r="D47" s="69"/>
      <x:c r="E47" s="69"/>
      <x:c r="F47" s="69"/>
      <x:c r="G47" s="69"/>
      <x:c r="H47" s="70"/>
    </x:row>
    <x:row r="48">
      <x:c r="B48" s="67"/>
      <x:c r="C48" s="68"/>
      <x:c r="D48" s="69"/>
      <x:c r="E48" s="69"/>
      <x:c r="F48" s="69"/>
      <x:c r="G48" s="69"/>
      <x:c r="H48" s="70"/>
    </x:row>
    <x:row r="49">
      <x:c r="B49" s="67"/>
      <x:c r="C49" s="68"/>
      <x:c r="D49" s="69"/>
      <x:c r="E49" s="69"/>
      <x:c r="F49" s="69"/>
      <x:c r="G49" s="69"/>
      <x:c r="H49" s="70"/>
    </x:row>
    <x:row r="50">
      <x:c r="B50" s="67"/>
      <x:c r="C50" s="68"/>
      <x:c r="D50" s="69"/>
      <x:c r="E50" s="69"/>
      <x:c r="F50" s="69"/>
      <x:c r="G50" s="69"/>
      <x:c r="H50" s="70"/>
    </x:row>
    <x:row r="51">
      <x:c r="B51" s="67"/>
      <x:c r="C51" s="68"/>
      <x:c r="D51" s="69"/>
      <x:c r="E51" s="69"/>
      <x:c r="F51" s="69"/>
      <x:c r="G51" s="69"/>
      <x:c r="H51" s="70"/>
    </x:row>
    <x:row r="52">
      <x:c r="B52" s="71"/>
      <x:c r="C52" s="72"/>
      <x:c r="D52" s="73"/>
      <x:c r="E52" s="73"/>
      <x:c r="F52" s="73"/>
      <x:c r="G52" s="73"/>
      <x:c r="H52" s="74"/>
    </x:row>
  </x:sheetData>
  <x:mergeCells>
    <x:mergeCell ref="E4:F4"/>
    <x:mergeCell ref="C6:H6"/>
    <x:mergeCell ref="B1:H1"/>
    <x:mergeCell ref="C5:D5"/>
    <x:mergeCell ref="E5:F5"/>
    <x:mergeCell ref="C3:D3"/>
    <x:mergeCell ref="E3:F3"/>
    <x:mergeCell ref="C4:D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52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109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48" customHeight="1">
      <x:c r="A3" s="83" t="s">
        <x:v>111</x:v>
      </x:c>
      <x:c r="B3" s="133" t="s">
        <x:v>112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38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27</x:v>
      </x:c>
      <x:c r="C6" s="90" t="n">
        <x:v>11</x:v>
      </x:c>
      <x:c r="D6" s="90" t="n">
        <x:v>0</x:v>
      </x:c>
      <x:c r="E6" s="91" t="n">
        <x:v>0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 t="str">
        <x:v>Round 2</x:v>
      </x:c>
      <x:c r="B7" s="90" t="n">
        <x:v>33</x:v>
      </x:c>
      <x:c r="C7" s="90" t="n">
        <x:v>3</x:v>
      </x:c>
      <x:c r="D7" s="90" t="n">
        <x:v>2</x:v>
      </x:c>
      <x:c r="E7" s="91" t="n">
        <x:v>0</x:v>
      </x:c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149" t="str">
        <x:v>Round 2</x:v>
      </x:c>
      <x:c r="J10" s="150" t="str">
        <x:v>Test date</x:v>
      </x:c>
      <x:c r="K10" s="149" t="str">
        <x:v>Tester</x:v>
      </x:c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14</x:v>
      </x:c>
      <x:c r="B11" s="98"/>
      <x:c r="C11" s="99"/>
      <x:c r="D11" s="99"/>
      <x:c r="E11" s="99"/>
      <x:c r="F11" s="99"/>
      <x:c r="G11" s="144"/>
      <x:c r="H11" s="99"/>
      <x:c r="I11" s="151"/>
      <x:c r="J11" s="144"/>
      <x:c r="K11" s="99"/>
      <x:c r="L11" s="99"/>
      <x:c r="M11" s="144"/>
      <x:c r="N11" s="99"/>
      <x:c r="O11" s="154"/>
      <x:c r="Q11" s="100"/>
    </x:row>
    <x:row r="12" ht="72" customHeight="1">
      <x:c r="A12" s="101" t="s">
        <x:v>127</x:v>
      </x:c>
      <x:c r="B12" s="37" t="s">
        <x:v>128</x:v>
      </x:c>
      <x:c r="C12" s="37" t="s">
        <x:v>129</x:v>
      </x:c>
      <x:c r="D12" s="102" t="s">
        <x:v>130</x:v>
      </x:c>
      <x:c r="E12" s="102" t="s">
        <x:v>131</x:v>
      </x:c>
      <x:c r="F12" s="101" t="str">
        <x:v>Passed</x:v>
      </x:c>
      <x:c r="G12" s="145" t="n">
        <x:v>46323</x:v>
      </x:c>
      <x:c r="H12" s="101" t="str">
        <x:v>Minh Trí</x:v>
      </x:c>
      <x:c r="I12" s="152" t="str">
        <x:v>Passed</x:v>
      </x:c>
      <x:c r="J12" s="145" t="n">
        <x:v>46325</x:v>
      </x:c>
      <x:c r="K12" s="101" t="str">
        <x:v>Minh Trí</x:v>
      </x:c>
      <x:c r="L12" s="101"/>
      <x:c r="M12" s="145"/>
      <x:c r="N12" s="101"/>
      <x:c r="O12" s="155" t="str">
        <x:v>Round 2: đạt; có bằng chứng trong Postman log/JUnit.</x:v>
      </x:c>
      <x:c r="Q12" s="103"/>
    </x:row>
    <x:row r="13" ht="132" customHeight="1">
      <x:c r="A13" s="101" t="s">
        <x:v>132</x:v>
      </x:c>
      <x:c r="B13" s="37" t="s">
        <x:v>133</x:v>
      </x:c>
      <x:c r="C13" s="37" t="s">
        <x:v>134</x:v>
      </x:c>
      <x:c r="D13" s="102" t="s">
        <x:v>135</x:v>
      </x:c>
      <x:c r="E13" s="102" t="s">
        <x:v>136</x:v>
      </x:c>
      <x:c r="F13" s="101" t="str">
        <x:v>Failed</x:v>
      </x:c>
      <x:c r="G13" s="145" t="n">
        <x:v>46323</x:v>
      </x:c>
      <x:c r="H13" s="101" t="str">
        <x:v>Minh Trí</x:v>
      </x:c>
      <x:c r="I13" s="152" t="str">
        <x:v>Passed</x:v>
      </x:c>
      <x:c r="J13" s="145" t="n">
        <x:v>46325</x:v>
      </x:c>
      <x:c r="K13" s="101" t="str">
        <x:v>Minh Trí</x:v>
      </x:c>
      <x:c r="L13" s="101"/>
      <x:c r="M13" s="145"/>
      <x:c r="N13" s="101"/>
      <x:c r="O13" s="155" t="str">
        <x:v>Round 2: đạt; có bằng chứng trong Postman log/JUnit.</x:v>
      </x:c>
      <x:c r="Q13" s="103"/>
    </x:row>
    <x:row r="14" ht="132" customHeight="1">
      <x:c r="A14" s="101" t="s">
        <x:v>137</x:v>
      </x:c>
      <x:c r="B14" s="37" t="s">
        <x:v>138</x:v>
      </x:c>
      <x:c r="C14" s="37" t="s">
        <x:v>139</x:v>
      </x:c>
      <x:c r="D14" s="102" t="s">
        <x:v>140</x:v>
      </x:c>
      <x:c r="E14" s="102" t="s">
        <x:v>141</x:v>
      </x:c>
      <x:c r="F14" s="101" t="str">
        <x:v>Failed</x:v>
      </x:c>
      <x:c r="G14" s="145" t="n">
        <x:v>46323</x:v>
      </x:c>
      <x:c r="H14" s="101" t="str">
        <x:v>Minh Trí</x:v>
      </x:c>
      <x:c r="I14" s="152" t="str">
        <x:v>Passed</x:v>
      </x:c>
      <x:c r="J14" s="145" t="n">
        <x:v>46325</x:v>
      </x:c>
      <x:c r="K14" s="101" t="str">
        <x:v>Minh Trí</x:v>
      </x:c>
      <x:c r="L14" s="101"/>
      <x:c r="M14" s="145"/>
      <x:c r="N14" s="101"/>
      <x:c r="O14" s="155" t="str">
        <x:v>Round 2: đạt; có bằng chứng trong Postman log/JUnit.</x:v>
      </x:c>
      <x:c r="Q14" s="103"/>
    </x:row>
    <x:row r="15" ht="72" customHeight="1">
      <x:c r="A15" s="101" t="s">
        <x:v>142</x:v>
      </x:c>
      <x:c r="B15" s="37" t="s">
        <x:v>143</x:v>
      </x:c>
      <x:c r="C15" s="37" t="s">
        <x:v>144</x:v>
      </x:c>
      <x:c r="D15" s="102" t="s">
        <x:v>145</x:v>
      </x:c>
      <x:c r="E15" s="102" t="s">
        <x:v>26</x:v>
      </x:c>
      <x:c r="F15" s="101" t="str">
        <x:v>Passed</x:v>
      </x:c>
      <x:c r="G15" s="145" t="n">
        <x:v>46323</x:v>
      </x:c>
      <x:c r="H15" s="101" t="str">
        <x:v>Minh Trí</x:v>
      </x:c>
      <x:c r="I15" s="152" t="str">
        <x:v>Passed</x:v>
      </x:c>
      <x:c r="J15" s="145" t="n">
        <x:v>46325</x:v>
      </x:c>
      <x:c r="K15" s="101" t="str">
        <x:v>Minh Trí</x:v>
      </x:c>
      <x:c r="L15" s="101"/>
      <x:c r="M15" s="145"/>
      <x:c r="N15" s="101"/>
      <x:c r="O15" s="155" t="str">
        <x:v>Round 2: đạt; có bằng chứng trong Postman log/JUnit.</x:v>
      </x:c>
      <x:c r="Q15" s="100"/>
    </x:row>
    <x:row r="16" ht="72" customHeight="1">
      <x:c r="A16" s="101" t="s">
        <x:v>146</x:v>
      </x:c>
      <x:c r="B16" s="37" t="s">
        <x:v>147</x:v>
      </x:c>
      <x:c r="C16" s="37" t="s">
        <x:v>148</x:v>
      </x:c>
      <x:c r="D16" s="102" t="s">
        <x:v>149</x:v>
      </x:c>
      <x:c r="E16" s="102" t="s">
        <x:v>150</x:v>
      </x:c>
      <x:c r="F16" s="101" t="str">
        <x:v>Passed</x:v>
      </x:c>
      <x:c r="G16" s="145" t="n">
        <x:v>46323</x:v>
      </x:c>
      <x:c r="H16" s="101" t="str">
        <x:v>Minh Trí</x:v>
      </x:c>
      <x:c r="I16" s="152" t="str">
        <x:v>Passed</x:v>
      </x:c>
      <x:c r="J16" s="145" t="n">
        <x:v>46325</x:v>
      </x:c>
      <x:c r="K16" s="101" t="str">
        <x:v>Minh Trí</x:v>
      </x:c>
      <x:c r="L16" s="101"/>
      <x:c r="M16" s="145"/>
      <x:c r="N16" s="101"/>
      <x:c r="O16" s="155" t="str">
        <x:v>Round 2: đạt; có bằng chứng trong Postman log/JUnit.</x:v>
      </x:c>
      <x:c r="Q16" s="103"/>
    </x:row>
    <x:row r="17" ht="168" customHeight="1">
      <x:c r="A17" s="101" t="s">
        <x:v>151</x:v>
      </x:c>
      <x:c r="B17" s="37" t="s">
        <x:v>152</x:v>
      </x:c>
      <x:c r="C17" s="37" t="s">
        <x:v>153</x:v>
      </x:c>
      <x:c r="D17" s="102" t="s">
        <x:v>154</x:v>
      </x:c>
      <x:c r="E17" s="102" t="s">
        <x:v>155</x:v>
      </x:c>
      <x:c r="F17" s="101" t="str">
        <x:v>Failed</x:v>
      </x:c>
      <x:c r="G17" s="145" t="n">
        <x:v>46323</x:v>
      </x:c>
      <x:c r="H17" s="101" t="str">
        <x:v>Minh Trí</x:v>
      </x:c>
      <x:c r="I17" s="152" t="str">
        <x:v>Passed</x:v>
      </x:c>
      <x:c r="J17" s="145" t="n">
        <x:v>46325</x:v>
      </x:c>
      <x:c r="K17" s="101" t="str">
        <x:v>Minh Trí</x:v>
      </x:c>
      <x:c r="L17" s="101"/>
      <x:c r="M17" s="145"/>
      <x:c r="N17" s="101"/>
      <x:c r="O17" s="155" t="str">
        <x:v>Round 2: đạt; có bằng chứng trong Postman log/JUnit.</x:v>
      </x:c>
    </x:row>
    <x:row r="18" ht="132" customHeight="1">
      <x:c r="A18" s="101" t="s">
        <x:v>156</x:v>
      </x:c>
      <x:c r="B18" s="37" t="s">
        <x:v>157</x:v>
      </x:c>
      <x:c r="C18" s="37" t="s">
        <x:v>158</x:v>
      </x:c>
      <x:c r="D18" s="102" t="s">
        <x:v>159</x:v>
      </x:c>
      <x:c r="E18" s="102" t="s">
        <x:v>155</x:v>
      </x:c>
      <x:c r="F18" s="101" t="str">
        <x:v>Failed</x:v>
      </x:c>
      <x:c r="G18" s="145" t="n">
        <x:v>46323</x:v>
      </x:c>
      <x:c r="H18" s="101" t="str">
        <x:v>Minh Trí</x:v>
      </x:c>
      <x:c r="I18" s="152" t="str">
        <x:v>Passed</x:v>
      </x:c>
      <x:c r="J18" s="145" t="n">
        <x:v>46325</x:v>
      </x:c>
      <x:c r="K18" s="101" t="str">
        <x:v>Minh Trí</x:v>
      </x:c>
      <x:c r="L18" s="101"/>
      <x:c r="M18" s="145"/>
      <x:c r="N18" s="101"/>
      <x:c r="O18" s="155" t="str">
        <x:v>Round 2: đạt; có bằng chứng trong Postman log/JUnit.</x:v>
      </x:c>
      <x:c r="Q18" s="100"/>
    </x:row>
    <x:row r="19" ht="12.75" customHeight="1">
      <x:c r="A19" s="98" t="s">
        <x:v>18</x:v>
      </x:c>
      <x:c r="B19" s="98"/>
      <x:c r="C19" s="99"/>
      <x:c r="D19" s="99"/>
      <x:c r="E19" s="99"/>
      <x:c r="F19" s="99"/>
      <x:c r="G19" s="144"/>
      <x:c r="H19" s="99"/>
      <x:c r="I19" s="151"/>
      <x:c r="J19" s="144"/>
      <x:c r="K19" s="99"/>
      <x:c r="L19" s="99"/>
      <x:c r="M19" s="144"/>
      <x:c r="N19" s="99"/>
      <x:c r="O19" s="154"/>
      <x:c r="Q19" s="103"/>
    </x:row>
    <x:row r="20" ht="48" customHeight="1">
      <x:c r="A20" s="101" t="s">
        <x:v>160</x:v>
      </x:c>
      <x:c r="B20" s="37" t="s">
        <x:v>161</x:v>
      </x:c>
      <x:c r="C20" s="37" t="s">
        <x:v>162</x:v>
      </x:c>
      <x:c r="D20" s="102" t="s">
        <x:v>163</x:v>
      </x:c>
      <x:c r="E20" s="102" t="s">
        <x:v>164</x:v>
      </x:c>
      <x:c r="F20" s="101" t="str">
        <x:v>Passed</x:v>
      </x:c>
      <x:c r="G20" s="145" t="n">
        <x:v>46323</x:v>
      </x:c>
      <x:c r="H20" s="101" t="str">
        <x:v>Minh Trí</x:v>
      </x:c>
      <x:c r="I20" s="152" t="str">
        <x:v>Passed</x:v>
      </x:c>
      <x:c r="J20" s="145" t="n">
        <x:v>46325</x:v>
      </x:c>
      <x:c r="K20" s="101" t="str">
        <x:v>Minh Trí</x:v>
      </x:c>
      <x:c r="L20" s="101"/>
      <x:c r="M20" s="145"/>
      <x:c r="N20" s="101"/>
      <x:c r="O20" s="155" t="str">
        <x:v>Round 2: đạt; có bằng chứng trong Postman log/JUnit.</x:v>
      </x:c>
    </x:row>
    <x:row r="21" ht="48" customHeight="1">
      <x:c r="A21" s="101" t="s">
        <x:v>165</x:v>
      </x:c>
      <x:c r="B21" s="37" t="s">
        <x:v>166</x:v>
      </x:c>
      <x:c r="C21" s="37" t="s">
        <x:v>167</x:v>
      </x:c>
      <x:c r="D21" s="102" t="s">
        <x:v>168</x:v>
      </x:c>
      <x:c r="E21" s="102" t="s">
        <x:v>164</x:v>
      </x:c>
      <x:c r="F21" s="101" t="str">
        <x:v>Passed</x:v>
      </x:c>
      <x:c r="G21" s="145" t="n">
        <x:v>46323</x:v>
      </x:c>
      <x:c r="H21" s="101" t="str">
        <x:v>Minh Trí</x:v>
      </x:c>
      <x:c r="I21" s="152" t="str">
        <x:v>Passed</x:v>
      </x:c>
      <x:c r="J21" s="145" t="n">
        <x:v>46325</x:v>
      </x:c>
      <x:c r="K21" s="101" t="str">
        <x:v>Minh Trí</x:v>
      </x:c>
      <x:c r="L21" s="101"/>
      <x:c r="M21" s="145"/>
      <x:c r="N21" s="101"/>
      <x:c r="O21" s="155" t="str">
        <x:v>Round 2: đạt; có bằng chứng trong Postman log/JUnit.</x:v>
      </x:c>
    </x:row>
    <x:row r="22" ht="48" customHeight="1">
      <x:c r="A22" s="101" t="s">
        <x:v>169</x:v>
      </x:c>
      <x:c r="B22" s="37" t="s">
        <x:v>170</x:v>
      </x:c>
      <x:c r="C22" s="37" t="s">
        <x:v>171</x:v>
      </x:c>
      <x:c r="D22" s="102" t="s">
        <x:v>172</x:v>
      </x:c>
      <x:c r="E22" s="102" t="s">
        <x:v>164</x:v>
      </x:c>
      <x:c r="F22" s="101" t="str">
        <x:v>Passed</x:v>
      </x:c>
      <x:c r="G22" s="145" t="n">
        <x:v>46323</x:v>
      </x:c>
      <x:c r="H22" s="101" t="str">
        <x:v>Minh Trí</x:v>
      </x:c>
      <x:c r="I22" s="152" t="str">
        <x:v>Passed</x:v>
      </x:c>
      <x:c r="J22" s="145" t="n">
        <x:v>46325</x:v>
      </x:c>
      <x:c r="K22" s="101" t="str">
        <x:v>Minh Trí</x:v>
      </x:c>
      <x:c r="L22" s="101"/>
      <x:c r="M22" s="145"/>
      <x:c r="N22" s="101"/>
      <x:c r="O22" s="155" t="str">
        <x:v>Round 2: đạt; có bằng chứng trong Postman log/JUnit.</x:v>
      </x:c>
    </x:row>
    <x:row r="23" ht="120" customHeight="1">
      <x:c r="A23" s="101" t="s">
        <x:v>173</x:v>
      </x:c>
      <x:c r="B23" s="37" t="s">
        <x:v>174</x:v>
      </x:c>
      <x:c r="C23" s="37" t="s">
        <x:v>175</x:v>
      </x:c>
      <x:c r="D23" s="102" t="s">
        <x:v>176</x:v>
      </x:c>
      <x:c r="E23" s="102" t="s">
        <x:v>177</x:v>
      </x:c>
      <x:c r="F23" s="101" t="str">
        <x:v>Passed</x:v>
      </x:c>
      <x:c r="G23" s="145" t="n">
        <x:v>46323</x:v>
      </x:c>
      <x:c r="H23" s="101" t="str">
        <x:v>Minh Trí</x:v>
      </x:c>
      <x:c r="I23" s="152" t="str">
        <x:v>Passed</x:v>
      </x:c>
      <x:c r="J23" s="145" t="n">
        <x:v>46325</x:v>
      </x:c>
      <x:c r="K23" s="101" t="str">
        <x:v>Minh Trí</x:v>
      </x:c>
      <x:c r="L23" s="101"/>
      <x:c r="M23" s="145"/>
      <x:c r="N23" s="101"/>
      <x:c r="O23" s="155" t="str">
        <x:v>Round 2: đạt; có bằng chứng trong Postman log/JUnit.</x:v>
      </x:c>
    </x:row>
    <x:row r="24" ht="132" customHeight="1">
      <x:c r="A24" s="101" t="s">
        <x:v>178</x:v>
      </x:c>
      <x:c r="B24" s="37" t="s">
        <x:v>179</x:v>
      </x:c>
      <x:c r="C24" s="37" t="s">
        <x:v>180</x:v>
      </x:c>
      <x:c r="D24" s="102" t="s">
        <x:v>181</x:v>
      </x:c>
      <x:c r="E24" s="102" t="s">
        <x:v>182</x:v>
      </x:c>
      <x:c r="F24" s="101" t="str">
        <x:v>Failed</x:v>
      </x:c>
      <x:c r="G24" s="145" t="n">
        <x:v>46323</x:v>
      </x:c>
      <x:c r="H24" s="101" t="str">
        <x:v>Minh Trí</x:v>
      </x:c>
      <x:c r="I24" s="152" t="str">
        <x:v>Passed</x:v>
      </x:c>
      <x:c r="J24" s="145" t="n">
        <x:v>46325</x:v>
      </x:c>
      <x:c r="K24" s="101" t="str">
        <x:v>Minh Trí</x:v>
      </x:c>
      <x:c r="L24" s="101"/>
      <x:c r="M24" s="145"/>
      <x:c r="N24" s="101"/>
      <x:c r="O24" s="155" t="str">
        <x:v>Round 2: đạt; có bằng chứng trong Postman log/JUnit.</x:v>
      </x:c>
    </x:row>
    <x:row r="25" ht="12.75" customHeight="1">
      <x:c r="A25" s="98" t="s">
        <x:v>21</x:v>
      </x:c>
      <x:c r="B25" s="98"/>
      <x:c r="C25" s="99"/>
      <x:c r="D25" s="99"/>
      <x:c r="E25" s="99"/>
      <x:c r="F25" s="99"/>
      <x:c r="G25" s="144"/>
      <x:c r="H25" s="99"/>
      <x:c r="I25" s="151"/>
      <x:c r="J25" s="144"/>
      <x:c r="K25" s="99"/>
      <x:c r="L25" s="99"/>
      <x:c r="M25" s="144"/>
      <x:c r="N25" s="99"/>
      <x:c r="O25" s="154"/>
    </x:row>
    <x:row r="26" ht="60" customHeight="1">
      <x:c r="A26" s="101" t="s">
        <x:v>183</x:v>
      </x:c>
      <x:c r="B26" s="37" t="s">
        <x:v>184</x:v>
      </x:c>
      <x:c r="C26" s="37" t="s">
        <x:v>185</x:v>
      </x:c>
      <x:c r="D26" s="102" t="s">
        <x:v>186</x:v>
      </x:c>
      <x:c r="E26" s="102" t="s">
        <x:v>187</x:v>
      </x:c>
      <x:c r="F26" s="101" t="str">
        <x:v>Passed</x:v>
      </x:c>
      <x:c r="G26" s="145" t="n">
        <x:v>46323</x:v>
      </x:c>
      <x:c r="H26" s="101" t="str">
        <x:v>Minh Trí</x:v>
      </x:c>
      <x:c r="I26" s="152" t="str">
        <x:v>Passed</x:v>
      </x:c>
      <x:c r="J26" s="145" t="n">
        <x:v>46325</x:v>
      </x:c>
      <x:c r="K26" s="101" t="str">
        <x:v>Minh Trí</x:v>
      </x:c>
      <x:c r="L26" s="101"/>
      <x:c r="M26" s="145"/>
      <x:c r="N26" s="101"/>
      <x:c r="O26" s="155" t="str">
        <x:v>Round 2: đạt; có bằng chứng trong Postman log/JUnit.</x:v>
      </x:c>
    </x:row>
    <x:row r="27" ht="60" customHeight="1">
      <x:c r="A27" s="101" t="s">
        <x:v>188</x:v>
      </x:c>
      <x:c r="B27" s="37" t="s">
        <x:v>189</x:v>
      </x:c>
      <x:c r="C27" s="37" t="s">
        <x:v>190</x:v>
      </x:c>
      <x:c r="D27" s="102" t="s">
        <x:v>191</x:v>
      </x:c>
      <x:c r="E27" s="102" t="s">
        <x:v>192</x:v>
      </x:c>
      <x:c r="F27" s="101" t="str">
        <x:v>Passed</x:v>
      </x:c>
      <x:c r="G27" s="145" t="n">
        <x:v>46323</x:v>
      </x:c>
      <x:c r="H27" s="101" t="str">
        <x:v>Minh Trí</x:v>
      </x:c>
      <x:c r="I27" s="152" t="str">
        <x:v>Passed</x:v>
      </x:c>
      <x:c r="J27" s="145" t="n">
        <x:v>46325</x:v>
      </x:c>
      <x:c r="K27" s="101" t="str">
        <x:v>Minh Trí</x:v>
      </x:c>
      <x:c r="L27" s="101"/>
      <x:c r="M27" s="145"/>
      <x:c r="N27" s="101"/>
      <x:c r="O27" s="155" t="str">
        <x:v>Round 2: đạt; có bằng chứng trong Postman log/JUnit.</x:v>
      </x:c>
    </x:row>
    <x:row r="28" ht="132" customHeight="1">
      <x:c r="A28" s="101" t="s">
        <x:v>193</x:v>
      </x:c>
      <x:c r="B28" s="37" t="s">
        <x:v>194</x:v>
      </x:c>
      <x:c r="C28" s="37" t="s">
        <x:v>195</x:v>
      </x:c>
      <x:c r="D28" s="102" t="s">
        <x:v>196</x:v>
      </x:c>
      <x:c r="E28" s="102" t="s">
        <x:v>197</x:v>
      </x:c>
      <x:c r="F28" s="101" t="str">
        <x:v>Passed</x:v>
      </x:c>
      <x:c r="G28" s="145" t="n">
        <x:v>46323</x:v>
      </x:c>
      <x:c r="H28" s="101" t="str">
        <x:v>Minh Trí</x:v>
      </x:c>
      <x:c r="I28" s="152" t="str">
        <x:v>Passed</x:v>
      </x:c>
      <x:c r="J28" s="145" t="n">
        <x:v>46325</x:v>
      </x:c>
      <x:c r="K28" s="101" t="str">
        <x:v>Minh Trí</x:v>
      </x:c>
      <x:c r="L28" s="101"/>
      <x:c r="M28" s="145"/>
      <x:c r="N28" s="101"/>
      <x:c r="O28" s="155" t="str">
        <x:v>Round 2: đạt; có bằng chứng trong Postman log/JUnit.</x:v>
      </x:c>
    </x:row>
    <x:row r="29" ht="12.75" customHeight="1">
      <x:c r="A29" s="98" t="s">
        <x:v>24</x:v>
      </x:c>
      <x:c r="B29" s="98"/>
      <x:c r="C29" s="99"/>
      <x:c r="D29" s="99"/>
      <x:c r="E29" s="99"/>
      <x:c r="F29" s="99"/>
      <x:c r="G29" s="144"/>
      <x:c r="H29" s="99"/>
      <x:c r="I29" s="151"/>
      <x:c r="J29" s="144"/>
      <x:c r="K29" s="99"/>
      <x:c r="L29" s="99"/>
      <x:c r="M29" s="144"/>
      <x:c r="N29" s="99"/>
      <x:c r="O29" s="154"/>
    </x:row>
    <x:row r="30" ht="60" customHeight="1">
      <x:c r="A30" s="101" t="s">
        <x:v>198</x:v>
      </x:c>
      <x:c r="B30" s="37" t="s">
        <x:v>199</x:v>
      </x:c>
      <x:c r="C30" s="37" t="s">
        <x:v>200</x:v>
      </x:c>
      <x:c r="D30" s="102" t="s">
        <x:v>201</x:v>
      </x:c>
      <x:c r="E30" s="102" t="s">
        <x:v>202</x:v>
      </x:c>
      <x:c r="F30" s="101" t="str">
        <x:v>Passed</x:v>
      </x:c>
      <x:c r="G30" s="145" t="n">
        <x:v>46323</x:v>
      </x:c>
      <x:c r="H30" s="101" t="str">
        <x:v>Minh Trí</x:v>
      </x:c>
      <x:c r="I30" s="152" t="str">
        <x:v>Passed</x:v>
      </x:c>
      <x:c r="J30" s="145" t="n">
        <x:v>46325</x:v>
      </x:c>
      <x:c r="K30" s="101" t="str">
        <x:v>Minh Trí</x:v>
      </x:c>
      <x:c r="L30" s="101"/>
      <x:c r="M30" s="145"/>
      <x:c r="N30" s="101"/>
      <x:c r="O30" s="155" t="str">
        <x:v>Round 2: đạt; có bằng chứng trong Postman log/JUnit.</x:v>
      </x:c>
    </x:row>
    <x:row r="31" ht="60" customHeight="1">
      <x:c r="A31" s="101" t="s">
        <x:v>203</x:v>
      </x:c>
      <x:c r="B31" s="37" t="s">
        <x:v>204</x:v>
      </x:c>
      <x:c r="C31" s="37" t="s">
        <x:v>205</x:v>
      </x:c>
      <x:c r="D31" s="102" t="s">
        <x:v>206</x:v>
      </x:c>
      <x:c r="E31" s="102" t="s">
        <x:v>207</x:v>
      </x:c>
      <x:c r="F31" s="101" t="str">
        <x:v>Passed</x:v>
      </x:c>
      <x:c r="G31" s="145" t="n">
        <x:v>46323</x:v>
      </x:c>
      <x:c r="H31" s="101" t="str">
        <x:v>Minh Trí</x:v>
      </x:c>
      <x:c r="I31" s="152" t="str">
        <x:v>Passed</x:v>
      </x:c>
      <x:c r="J31" s="145" t="n">
        <x:v>46325</x:v>
      </x:c>
      <x:c r="K31" s="101" t="str">
        <x:v>Minh Trí</x:v>
      </x:c>
      <x:c r="L31" s="101"/>
      <x:c r="M31" s="145"/>
      <x:c r="N31" s="101"/>
      <x:c r="O31" s="155" t="str">
        <x:v>Round 2: đạt; có bằng chứng trong Postman log/JUnit.</x:v>
      </x:c>
    </x:row>
    <x:row r="32" ht="48" customHeight="1">
      <x:c r="A32" s="101" t="s">
        <x:v>208</x:v>
      </x:c>
      <x:c r="B32" s="37" t="s">
        <x:v>209</x:v>
      </x:c>
      <x:c r="C32" s="37" t="s">
        <x:v>210</x:v>
      </x:c>
      <x:c r="D32" s="102" t="s">
        <x:v>211</x:v>
      </x:c>
      <x:c r="E32" s="102" t="s">
        <x:v>26</x:v>
      </x:c>
      <x:c r="F32" s="101" t="str">
        <x:v>Passed</x:v>
      </x:c>
      <x:c r="G32" s="145" t="n">
        <x:v>46323</x:v>
      </x:c>
      <x:c r="H32" s="101" t="str">
        <x:v>Minh Trí</x:v>
      </x:c>
      <x:c r="I32" s="152" t="str">
        <x:v>Passed</x:v>
      </x:c>
      <x:c r="J32" s="145" t="n">
        <x:v>46325</x:v>
      </x:c>
      <x:c r="K32" s="101" t="str">
        <x:v>Minh Trí</x:v>
      </x:c>
      <x:c r="L32" s="101"/>
      <x:c r="M32" s="145"/>
      <x:c r="N32" s="101"/>
      <x:c r="O32" s="155" t="str">
        <x:v>Round 2: đạt; có bằng chứng trong Postman log/JUnit.</x:v>
      </x:c>
    </x:row>
    <x:row r="33" ht="12.75" customHeight="1">
      <x:c r="A33" s="98" t="s">
        <x:v>27</x:v>
      </x:c>
      <x:c r="B33" s="98"/>
      <x:c r="C33" s="99"/>
      <x:c r="D33" s="99"/>
      <x:c r="E33" s="99"/>
      <x:c r="F33" s="99"/>
      <x:c r="G33" s="144"/>
      <x:c r="H33" s="99"/>
      <x:c r="I33" s="151"/>
      <x:c r="J33" s="144"/>
      <x:c r="K33" s="99"/>
      <x:c r="L33" s="99"/>
      <x:c r="M33" s="144"/>
      <x:c r="N33" s="99"/>
      <x:c r="O33" s="154"/>
    </x:row>
    <x:row r="34" ht="144" customHeight="1">
      <x:c r="A34" s="101" t="s">
        <x:v>212</x:v>
      </x:c>
      <x:c r="B34" s="37" t="s">
        <x:v>213</x:v>
      </x:c>
      <x:c r="C34" s="37" t="s">
        <x:v>214</x:v>
      </x:c>
      <x:c r="D34" s="102" t="s">
        <x:v>215</x:v>
      </x:c>
      <x:c r="E34" s="102" t="s">
        <x:v>29</x:v>
      </x:c>
      <x:c r="F34" s="101" t="str">
        <x:v>Passed</x:v>
      </x:c>
      <x:c r="G34" s="145" t="n">
        <x:v>46323</x:v>
      </x:c>
      <x:c r="H34" s="101" t="str">
        <x:v>Minh Trí</x:v>
      </x:c>
      <x:c r="I34" s="152" t="str">
        <x:v>Passed</x:v>
      </x:c>
      <x:c r="J34" s="145" t="n">
        <x:v>46325</x:v>
      </x:c>
      <x:c r="K34" s="101" t="str">
        <x:v>Minh Trí</x:v>
      </x:c>
      <x:c r="L34" s="101"/>
      <x:c r="M34" s="145"/>
      <x:c r="N34" s="101"/>
      <x:c r="O34" s="155" t="str">
        <x:v>Round 2: đạt; có bằng chứng trong Postman log/JUnit.</x:v>
      </x:c>
    </x:row>
    <x:row r="35" ht="132" customHeight="1">
      <x:c r="A35" s="101" t="s">
        <x:v>216</x:v>
      </x:c>
      <x:c r="B35" s="37" t="s">
        <x:v>217</x:v>
      </x:c>
      <x:c r="C35" s="37" t="s">
        <x:v>218</x:v>
      </x:c>
      <x:c r="D35" s="102" t="s">
        <x:v>219</x:v>
      </x:c>
      <x:c r="E35" s="102" t="s">
        <x:v>29</x:v>
      </x:c>
      <x:c r="F35" s="101" t="str">
        <x:v>Failed</x:v>
      </x:c>
      <x:c r="G35" s="145" t="n">
        <x:v>46323</x:v>
      </x:c>
      <x:c r="H35" s="101" t="str">
        <x:v>Minh Trí</x:v>
      </x:c>
      <x:c r="I35" s="152" t="str">
        <x:v>Passed</x:v>
      </x:c>
      <x:c r="J35" s="145" t="n">
        <x:v>46325</x:v>
      </x:c>
      <x:c r="K35" s="101" t="str">
        <x:v>Minh Trí</x:v>
      </x:c>
      <x:c r="L35" s="101"/>
      <x:c r="M35" s="145"/>
      <x:c r="N35" s="101"/>
      <x:c r="O35" s="155" t="str">
        <x:v>Round 2: đạt; có bằng chứng trong Postman log/JUnit.</x:v>
      </x:c>
    </x:row>
    <x:row r="36" ht="120" customHeight="1">
      <x:c r="A36" s="101" t="s">
        <x:v>220</x:v>
      </x:c>
      <x:c r="B36" s="37" t="s">
        <x:v>221</x:v>
      </x:c>
      <x:c r="C36" s="37" t="s">
        <x:v>222</x:v>
      </x:c>
      <x:c r="D36" s="102" t="s">
        <x:v>223</x:v>
      </x:c>
      <x:c r="E36" s="102" t="s">
        <x:v>29</x:v>
      </x:c>
      <x:c r="F36" s="101" t="str">
        <x:v>Passed</x:v>
      </x:c>
      <x:c r="G36" s="145" t="n">
        <x:v>46323</x:v>
      </x:c>
      <x:c r="H36" s="101" t="str">
        <x:v>Minh Trí</x:v>
      </x:c>
      <x:c r="I36" s="152" t="str">
        <x:v>Passed</x:v>
      </x:c>
      <x:c r="J36" s="145" t="n">
        <x:v>46325</x:v>
      </x:c>
      <x:c r="K36" s="101" t="str">
        <x:v>Minh Trí</x:v>
      </x:c>
      <x:c r="L36" s="101"/>
      <x:c r="M36" s="145"/>
      <x:c r="N36" s="101"/>
      <x:c r="O36" s="155" t="str">
        <x:v>Round 2: đạt; có bằng chứng trong Postman log/JUnit.</x:v>
      </x:c>
    </x:row>
    <x:row r="37" ht="120" customHeight="1">
      <x:c r="A37" s="101" t="s">
        <x:v>224</x:v>
      </x:c>
      <x:c r="B37" s="37" t="s">
        <x:v>225</x:v>
      </x:c>
      <x:c r="C37" s="37" t="s">
        <x:v>226</x:v>
      </x:c>
      <x:c r="D37" s="102" t="s">
        <x:v>227</x:v>
      </x:c>
      <x:c r="E37" s="102" t="s">
        <x:v>29</x:v>
      </x:c>
      <x:c r="F37" s="101" t="str">
        <x:v>Passed</x:v>
      </x:c>
      <x:c r="G37" s="145" t="n">
        <x:v>46323</x:v>
      </x:c>
      <x:c r="H37" s="101" t="str">
        <x:v>Minh Trí</x:v>
      </x:c>
      <x:c r="I37" s="152" t="str">
        <x:v>Passed</x:v>
      </x:c>
      <x:c r="J37" s="145" t="n">
        <x:v>46325</x:v>
      </x:c>
      <x:c r="K37" s="101" t="str">
        <x:v>Minh Trí</x:v>
      </x:c>
      <x:c r="L37" s="101"/>
      <x:c r="M37" s="145"/>
      <x:c r="N37" s="101"/>
      <x:c r="O37" s="155" t="str">
        <x:v>Round 2: đạt; có bằng chứng trong Postman log/JUnit.</x:v>
      </x:c>
    </x:row>
    <x:row r="38" ht="12.75" customHeight="1">
      <x:c r="A38" s="98" t="s">
        <x:v>30</x:v>
      </x:c>
      <x:c r="B38" s="98"/>
      <x:c r="C38" s="99"/>
      <x:c r="D38" s="99"/>
      <x:c r="E38" s="99"/>
      <x:c r="F38" s="99"/>
      <x:c r="G38" s="144"/>
      <x:c r="H38" s="99"/>
      <x:c r="I38" s="151"/>
      <x:c r="J38" s="144"/>
      <x:c r="K38" s="99"/>
      <x:c r="L38" s="99"/>
      <x:c r="M38" s="144"/>
      <x:c r="N38" s="99"/>
      <x:c r="O38" s="154"/>
      <x:c r="Q38" s="100"/>
    </x:row>
    <x:row r="39" ht="144" customHeight="1">
      <x:c r="A39" s="101" t="s">
        <x:v>228</x:v>
      </x:c>
      <x:c r="B39" s="37" t="s">
        <x:v>229</x:v>
      </x:c>
      <x:c r="C39" s="37" t="s">
        <x:v>230</x:v>
      </x:c>
      <x:c r="D39" s="102" t="s">
        <x:v>231</x:v>
      </x:c>
      <x:c r="E39" s="102" t="s">
        <x:v>32</x:v>
      </x:c>
      <x:c r="F39" s="101" t="str">
        <x:v>Failed</x:v>
      </x:c>
      <x:c r="G39" s="145" t="n">
        <x:v>46323</x:v>
      </x:c>
      <x:c r="H39" s="101" t="str">
        <x:v>Minh Trí</x:v>
      </x:c>
      <x:c r="I39" s="152" t="str">
        <x:v>Passed</x:v>
      </x:c>
      <x:c r="J39" s="145" t="n">
        <x:v>46325</x:v>
      </x:c>
      <x:c r="K39" s="101" t="str">
        <x:v>Minh Trí</x:v>
      </x:c>
      <x:c r="L39" s="101"/>
      <x:c r="M39" s="145"/>
      <x:c r="N39" s="101"/>
      <x:c r="O39" s="155" t="str">
        <x:v>Round 2: đạt; có bằng chứng trong Postman log/JUnit.</x:v>
      </x:c>
      <x:c r="Q39" s="103"/>
    </x:row>
    <x:row r="40" ht="132" customHeight="1">
      <x:c r="A40" s="101" t="s">
        <x:v>232</x:v>
      </x:c>
      <x:c r="B40" s="37" t="s">
        <x:v>233</x:v>
      </x:c>
      <x:c r="C40" s="37" t="s">
        <x:v>234</x:v>
      </x:c>
      <x:c r="D40" s="102" t="s">
        <x:v>235</x:v>
      </x:c>
      <x:c r="E40" s="102" t="s">
        <x:v>32</x:v>
      </x:c>
      <x:c r="F40" s="101" t="str">
        <x:v>Failed</x:v>
      </x:c>
      <x:c r="G40" s="145" t="n">
        <x:v>46323</x:v>
      </x:c>
      <x:c r="H40" s="101" t="str">
        <x:v>Minh Trí</x:v>
      </x:c>
      <x:c r="I40" s="152" t="str">
        <x:v>Failed</x:v>
      </x:c>
      <x:c r="J40" s="145" t="n">
        <x:v>46325</x:v>
      </x:c>
      <x:c r="K40" s="101" t="str">
        <x:v>Minh Trí</x:v>
      </x:c>
      <x:c r="L40" s="101"/>
      <x:c r="M40" s="145"/>
      <x:c r="N40" s="101"/>
      <x:c r="O40" s="155" t="str">
        <x:v>Round 2: chưa đạt; xem collection log tương ứng trong outputs/pbl6-round2/logs.</x:v>
      </x:c>
      <x:c r="Q40" s="103"/>
    </x:row>
    <x:row r="41" ht="132" customHeight="1">
      <x:c r="A41" s="101" t="s">
        <x:v>236</x:v>
      </x:c>
      <x:c r="B41" s="37" t="s">
        <x:v>237</x:v>
      </x:c>
      <x:c r="C41" s="37" t="s">
        <x:v>238</x:v>
      </x:c>
      <x:c r="D41" s="102" t="s">
        <x:v>239</x:v>
      </x:c>
      <x:c r="E41" s="102" t="s">
        <x:v>32</x:v>
      </x:c>
      <x:c r="F41" s="101" t="str">
        <x:v>Passed</x:v>
      </x:c>
      <x:c r="G41" s="145" t="n">
        <x:v>46323</x:v>
      </x:c>
      <x:c r="H41" s="101" t="str">
        <x:v>Minh Trí</x:v>
      </x:c>
      <x:c r="I41" s="152" t="str">
        <x:v>Passed</x:v>
      </x:c>
      <x:c r="J41" s="145" t="n">
        <x:v>46325</x:v>
      </x:c>
      <x:c r="K41" s="101" t="str">
        <x:v>Minh Trí</x:v>
      </x:c>
      <x:c r="L41" s="101"/>
      <x:c r="M41" s="145"/>
      <x:c r="N41" s="101"/>
      <x:c r="O41" s="155" t="str">
        <x:v>Round 2: đạt; có bằng chứng trong Postman log/JUnit.</x:v>
      </x:c>
      <x:c r="Q41" s="103"/>
    </x:row>
    <x:row r="42" ht="132" customHeight="1">
      <x:c r="A42" s="101" t="s">
        <x:v>240</x:v>
      </x:c>
      <x:c r="B42" s="37" t="s">
        <x:v>241</x:v>
      </x:c>
      <x:c r="C42" s="37" t="s">
        <x:v>242</x:v>
      </x:c>
      <x:c r="D42" s="102" t="s">
        <x:v>243</x:v>
      </x:c>
      <x:c r="E42" s="102" t="s">
        <x:v>244</x:v>
      </x:c>
      <x:c r="F42" s="101" t="str">
        <x:v>Passed</x:v>
      </x:c>
      <x:c r="G42" s="145" t="n">
        <x:v>46323</x:v>
      </x:c>
      <x:c r="H42" s="101" t="str">
        <x:v>Minh Trí</x:v>
      </x:c>
      <x:c r="I42" s="152" t="str">
        <x:v>Passed</x:v>
      </x:c>
      <x:c r="J42" s="145" t="n">
        <x:v>46325</x:v>
      </x:c>
      <x:c r="K42" s="101" t="str">
        <x:v>Minh Trí</x:v>
      </x:c>
      <x:c r="L42" s="101"/>
      <x:c r="M42" s="145"/>
      <x:c r="N42" s="101"/>
      <x:c r="O42" s="155" t="str">
        <x:v>Round 2: đạt; có bằng chứng trong Postman log/JUnit.</x:v>
      </x:c>
      <x:c r="Q42" s="100"/>
    </x:row>
    <x:row r="43" ht="72" customHeight="1">
      <x:c r="A43" s="101" t="s">
        <x:v>245</x:v>
      </x:c>
      <x:c r="B43" s="37" t="s">
        <x:v>246</x:v>
      </x:c>
      <x:c r="C43" s="37" t="s">
        <x:v>247</x:v>
      </x:c>
      <x:c r="D43" s="102" t="s">
        <x:v>248</x:v>
      </x:c>
      <x:c r="E43" s="102" t="s">
        <x:v>29</x:v>
      </x:c>
      <x:c r="F43" s="101" t="str">
        <x:v>Passed</x:v>
      </x:c>
      <x:c r="G43" s="145" t="n">
        <x:v>46323</x:v>
      </x:c>
      <x:c r="H43" s="101" t="str">
        <x:v>Minh Trí</x:v>
      </x:c>
      <x:c r="I43" s="152" t="str">
        <x:v>Passed</x:v>
      </x:c>
      <x:c r="J43" s="145" t="n">
        <x:v>46325</x:v>
      </x:c>
      <x:c r="K43" s="101" t="str">
        <x:v>Minh Trí</x:v>
      </x:c>
      <x:c r="L43" s="101"/>
      <x:c r="M43" s="145"/>
      <x:c r="N43" s="101"/>
      <x:c r="O43" s="155" t="str">
        <x:v>Round 2: đạt; có bằng chứng trong Postman log/JUnit.</x:v>
      </x:c>
      <x:c r="Q43" s="103"/>
    </x:row>
    <x:row r="44" ht="12.75" customHeight="1">
      <x:c r="A44" s="98" t="s">
        <x:v>33</x:v>
      </x:c>
      <x:c r="B44" s="98"/>
      <x:c r="C44" s="99"/>
      <x:c r="D44" s="99"/>
      <x:c r="E44" s="99"/>
      <x:c r="F44" s="99"/>
      <x:c r="G44" s="144"/>
      <x:c r="H44" s="99"/>
      <x:c r="I44" s="151"/>
      <x:c r="J44" s="144"/>
      <x:c r="K44" s="99"/>
      <x:c r="L44" s="99"/>
      <x:c r="M44" s="144"/>
      <x:c r="N44" s="99"/>
      <x:c r="O44" s="154"/>
      <x:c r="Q44" s="100"/>
    </x:row>
    <x:row r="45" ht="108" customHeight="1">
      <x:c r="A45" s="101" t="s">
        <x:v>249</x:v>
      </x:c>
      <x:c r="B45" s="37" t="s">
        <x:v>250</x:v>
      </x:c>
      <x:c r="C45" s="37" t="s">
        <x:v>251</x:v>
      </x:c>
      <x:c r="D45" s="102" t="s">
        <x:v>252</x:v>
      </x:c>
      <x:c r="E45" s="102" t="s">
        <x:v>26</x:v>
      </x:c>
      <x:c r="F45" s="101" t="str">
        <x:v>Passed</x:v>
      </x:c>
      <x:c r="G45" s="145" t="n">
        <x:v>46323</x:v>
      </x:c>
      <x:c r="H45" s="101" t="str">
        <x:v>Minh Trí</x:v>
      </x:c>
      <x:c r="I45" s="152" t="str">
        <x:v>Passed</x:v>
      </x:c>
      <x:c r="J45" s="145" t="n">
        <x:v>46325</x:v>
      </x:c>
      <x:c r="K45" s="101" t="str">
        <x:v>Minh Trí</x:v>
      </x:c>
      <x:c r="L45" s="101"/>
      <x:c r="M45" s="145"/>
      <x:c r="N45" s="101"/>
      <x:c r="O45" s="155" t="str">
        <x:v>Round 2: đạt; có bằng chứng trong Postman log/JUnit.</x:v>
      </x:c>
      <x:c r="Q45" s="103"/>
    </x:row>
    <x:row r="46" ht="120" customHeight="1">
      <x:c r="A46" s="101" t="s">
        <x:v>253</x:v>
      </x:c>
      <x:c r="B46" s="37" t="s">
        <x:v>254</x:v>
      </x:c>
      <x:c r="C46" s="37" t="s">
        <x:v>255</x:v>
      </x:c>
      <x:c r="D46" s="102" t="s">
        <x:v>256</x:v>
      </x:c>
      <x:c r="E46" s="102" t="s">
        <x:v>26</x:v>
      </x:c>
      <x:c r="F46" s="101" t="str">
        <x:v>Failed</x:v>
      </x:c>
      <x:c r="G46" s="145" t="n">
        <x:v>46323</x:v>
      </x:c>
      <x:c r="H46" s="101" t="str">
        <x:v>Minh Trí</x:v>
      </x:c>
      <x:c r="I46" s="152" t="str">
        <x:v>Pending</x:v>
      </x:c>
      <x:c r="J46" s="145"/>
      <x:c r="K46" s="101"/>
      <x:c r="L46" s="101"/>
      <x:c r="M46" s="145"/>
      <x:c r="N46" s="101"/>
      <x:c r="O46" s="155" t="str">
        <x:v>Chưa có assertion Round 2 ánh xạ trực tiếp tới test case này.</x:v>
      </x:c>
      <x:c r="Q46" s="103"/>
    </x:row>
    <x:row r="47" ht="48" customHeight="1">
      <x:c r="A47" s="101" t="s">
        <x:v>257</x:v>
      </x:c>
      <x:c r="B47" s="37" t="s">
        <x:v>258</x:v>
      </x:c>
      <x:c r="C47" s="37" t="s">
        <x:v>259</x:v>
      </x:c>
      <x:c r="D47" s="102" t="s">
        <x:v>260</x:v>
      </x:c>
      <x:c r="E47" s="102" t="s">
        <x:v>26</x:v>
      </x:c>
      <x:c r="F47" s="101" t="str">
        <x:v>Passed</x:v>
      </x:c>
      <x:c r="G47" s="145" t="n">
        <x:v>46323</x:v>
      </x:c>
      <x:c r="H47" s="101" t="str">
        <x:v>Minh Trí</x:v>
      </x:c>
      <x:c r="I47" s="152" t="str">
        <x:v>Passed</x:v>
      </x:c>
      <x:c r="J47" s="145" t="n">
        <x:v>46325</x:v>
      </x:c>
      <x:c r="K47" s="101" t="str">
        <x:v>Minh Trí</x:v>
      </x:c>
      <x:c r="L47" s="101"/>
      <x:c r="M47" s="145"/>
      <x:c r="N47" s="101"/>
      <x:c r="O47" s="155" t="str">
        <x:v>Round 2: đạt; có bằng chứng trong Postman log/JUnit.</x:v>
      </x:c>
      <x:c r="Q47" s="103"/>
    </x:row>
    <x:row r="48" ht="120" customHeight="1">
      <x:c r="A48" s="101" t="s">
        <x:v>261</x:v>
      </x:c>
      <x:c r="B48" s="37" t="s">
        <x:v>262</x:v>
      </x:c>
      <x:c r="C48" s="37" t="s">
        <x:v>263</x:v>
      </x:c>
      <x:c r="D48" s="102" t="s">
        <x:v>264</x:v>
      </x:c>
      <x:c r="E48" s="102" t="s">
        <x:v>29</x:v>
      </x:c>
      <x:c r="F48" s="101" t="str">
        <x:v>Passed</x:v>
      </x:c>
      <x:c r="G48" s="145" t="n">
        <x:v>46323</x:v>
      </x:c>
      <x:c r="H48" s="101" t="str">
        <x:v>Minh Trí</x:v>
      </x:c>
      <x:c r="I48" s="152" t="str">
        <x:v>Passed</x:v>
      </x:c>
      <x:c r="J48" s="145" t="n">
        <x:v>46325</x:v>
      </x:c>
      <x:c r="K48" s="101" t="str">
        <x:v>Minh Trí</x:v>
      </x:c>
      <x:c r="L48" s="101"/>
      <x:c r="M48" s="145"/>
      <x:c r="N48" s="101"/>
      <x:c r="O48" s="155" t="str">
        <x:v>Round 2: đạt; có bằng chứng trong Postman log/JUnit.</x:v>
      </x:c>
      <x:c r="Q48" s="100"/>
    </x:row>
    <x:row r="49" ht="108" customHeight="1">
      <x:c r="A49" s="101" t="s">
        <x:v>265</x:v>
      </x:c>
      <x:c r="B49" s="37" t="s">
        <x:v>266</x:v>
      </x:c>
      <x:c r="C49" s="37" t="s">
        <x:v>267</x:v>
      </x:c>
      <x:c r="D49" s="102" t="s">
        <x:v>268</x:v>
      </x:c>
      <x:c r="E49" s="102" t="s">
        <x:v>26</x:v>
      </x:c>
      <x:c r="F49" s="101" t="str">
        <x:v>Passed</x:v>
      </x:c>
      <x:c r="G49" s="145" t="n">
        <x:v>46323</x:v>
      </x:c>
      <x:c r="H49" s="101" t="str">
        <x:v>Minh Trí</x:v>
      </x:c>
      <x:c r="I49" s="152" t="str">
        <x:v>Failed</x:v>
      </x:c>
      <x:c r="J49" s="145" t="n">
        <x:v>46325</x:v>
      </x:c>
      <x:c r="K49" s="101" t="str">
        <x:v>Minh Trí</x:v>
      </x:c>
      <x:c r="L49" s="101"/>
      <x:c r="M49" s="145"/>
      <x:c r="N49" s="101"/>
      <x:c r="O49" s="155" t="str">
        <x:v>Round 2: chưa đạt; xem collection log tương ứng trong outputs/pbl6-round2/logs.</x:v>
      </x:c>
      <x:c r="Q49" s="103"/>
    </x:row>
    <x:row r="50" ht="12.75" customHeight="1">
      <x:c r="A50" s="98" t="s">
        <x:v>36</x:v>
      </x:c>
      <x:c r="B50" s="98"/>
      <x:c r="C50" s="99"/>
      <x:c r="D50" s="99"/>
      <x:c r="E50" s="99"/>
      <x:c r="F50" s="99"/>
      <x:c r="G50" s="144"/>
      <x:c r="H50" s="99"/>
      <x:c r="I50" s="151"/>
      <x:c r="J50" s="144"/>
      <x:c r="K50" s="99"/>
      <x:c r="L50" s="99"/>
      <x:c r="M50" s="144"/>
      <x:c r="N50" s="99"/>
      <x:c r="O50" s="154"/>
    </x:row>
    <x:row r="51" ht="72" customHeight="1">
      <x:c r="A51" s="101" t="s">
        <x:v>269</x:v>
      </x:c>
      <x:c r="B51" s="37" t="s">
        <x:v>270</x:v>
      </x:c>
      <x:c r="C51" s="37" t="s">
        <x:v>271</x:v>
      </x:c>
      <x:c r="D51" s="102" t="s">
        <x:v>272</x:v>
      </x:c>
      <x:c r="E51" s="102" t="s">
        <x:v>26</x:v>
      </x:c>
      <x:c r="F51" s="101" t="str">
        <x:v>Failed</x:v>
      </x:c>
      <x:c r="G51" s="145" t="n">
        <x:v>46323</x:v>
      </x:c>
      <x:c r="H51" s="101" t="str">
        <x:v>Minh Trí</x:v>
      </x:c>
      <x:c r="I51" s="152" t="str">
        <x:v>Failed</x:v>
      </x:c>
      <x:c r="J51" s="145" t="n">
        <x:v>46325</x:v>
      </x:c>
      <x:c r="K51" s="101" t="str">
        <x:v>Minh Trí</x:v>
      </x:c>
      <x:c r="L51" s="101"/>
      <x:c r="M51" s="145"/>
      <x:c r="N51" s="101"/>
      <x:c r="O51" s="155" t="str">
        <x:v>Round 2: chưa đạt; xem collection log tương ứng trong outputs/pbl6-round2/logs.</x:v>
      </x:c>
      <x:c r="Q51" s="100"/>
    </x:row>
    <x:row r="52" ht="144" customHeight="1">
      <x:c r="A52" s="101" t="s">
        <x:v>273</x:v>
      </x:c>
      <x:c r="B52" s="37" t="s">
        <x:v>274</x:v>
      </x:c>
      <x:c r="C52" s="37" t="s">
        <x:v>275</x:v>
      </x:c>
      <x:c r="D52" s="102" t="s">
        <x:v>276</x:v>
      </x:c>
      <x:c r="E52" s="102" t="s">
        <x:v>277</x:v>
      </x:c>
      <x:c r="F52" s="101" t="str">
        <x:v>Passed</x:v>
      </x:c>
      <x:c r="G52" s="145" t="n">
        <x:v>46323</x:v>
      </x:c>
      <x:c r="H52" s="101" t="str">
        <x:v>Minh Trí</x:v>
      </x:c>
      <x:c r="I52" s="152" t="str">
        <x:v>Passed</x:v>
      </x:c>
      <x:c r="J52" s="145" t="n">
        <x:v>46325</x:v>
      </x:c>
      <x:c r="K52" s="101" t="str">
        <x:v>Minh Trí</x:v>
      </x:c>
      <x:c r="L52" s="101"/>
      <x:c r="M52" s="145"/>
      <x:c r="N52" s="101"/>
      <x:c r="O52" s="155" t="str">
        <x:v>Round 2: đạt; có bằng chứng trong Postman log/JUnit.</x:v>
      </x:c>
      <x:c r="Q52" s="103"/>
    </x:row>
    <x:row r="53" ht="120" customHeight="1">
      <x:c r="A53" s="101" t="s">
        <x:v>278</x:v>
      </x:c>
      <x:c r="B53" s="37" t="s">
        <x:v>279</x:v>
      </x:c>
      <x:c r="C53" s="37" t="s">
        <x:v>280</x:v>
      </x:c>
      <x:c r="D53" s="102" t="s">
        <x:v>281</x:v>
      </x:c>
      <x:c r="E53" s="102" t="s">
        <x:v>29</x:v>
      </x:c>
      <x:c r="F53" s="101" t="str">
        <x:v>Passed</x:v>
      </x:c>
      <x:c r="G53" s="145" t="n">
        <x:v>46323</x:v>
      </x:c>
      <x:c r="H53" s="101" t="str">
        <x:v>Minh Trí</x:v>
      </x:c>
      <x:c r="I53" s="152" t="str">
        <x:v>Passed</x:v>
      </x:c>
      <x:c r="J53" s="145" t="n">
        <x:v>46325</x:v>
      </x:c>
      <x:c r="K53" s="101" t="str">
        <x:v>Minh Trí</x:v>
      </x:c>
      <x:c r="L53" s="101"/>
      <x:c r="M53" s="145"/>
      <x:c r="N53" s="101"/>
      <x:c r="O53" s="155" t="str">
        <x:v>Round 2: đạt; có bằng chứng trong Postman log/JUnit.</x:v>
      </x:c>
    </x:row>
    <x:row r="54" ht="132" customHeight="1">
      <x:c r="A54" s="101" t="s">
        <x:v>282</x:v>
      </x:c>
      <x:c r="B54" s="37" t="s">
        <x:v>283</x:v>
      </x:c>
      <x:c r="C54" s="37" t="s">
        <x:v>284</x:v>
      </x:c>
      <x:c r="D54" s="102" t="s">
        <x:v>285</x:v>
      </x:c>
      <x:c r="E54" s="102" t="s">
        <x:v>26</x:v>
      </x:c>
      <x:c r="F54" s="101" t="str">
        <x:v>Failed</x:v>
      </x:c>
      <x:c r="G54" s="145" t="n">
        <x:v>46323</x:v>
      </x:c>
      <x:c r="H54" s="101" t="str">
        <x:v>Minh Trí</x:v>
      </x:c>
      <x:c r="I54" s="152" t="str">
        <x:v>Passed</x:v>
      </x:c>
      <x:c r="J54" s="145" t="n">
        <x:v>46325</x:v>
      </x:c>
      <x:c r="K54" s="101" t="str">
        <x:v>Minh Trí</x:v>
      </x:c>
      <x:c r="L54" s="101"/>
      <x:c r="M54" s="145"/>
      <x:c r="N54" s="101"/>
      <x:c r="O54" s="155" t="str">
        <x:v>Round 2: đạt; có bằng chứng trong Postman log/JUnit.</x:v>
      </x:c>
    </x:row>
    <x:row r="55" ht="84" customHeight="1">
      <x:c r="A55" s="101" t="s">
        <x:v>286</x:v>
      </x:c>
      <x:c r="B55" s="37" t="s">
        <x:v>287</x:v>
      </x:c>
      <x:c r="C55" s="37" t="s">
        <x:v>288</x:v>
      </x:c>
      <x:c r="D55" s="102" t="s">
        <x:v>289</x:v>
      </x:c>
      <x:c r="E55" s="102" t="s">
        <x:v>29</x:v>
      </x:c>
      <x:c r="F55" s="101" t="str">
        <x:v>Passed</x:v>
      </x:c>
      <x:c r="G55" s="145" t="n">
        <x:v>46323</x:v>
      </x:c>
      <x:c r="H55" s="101" t="str">
        <x:v>Minh Trí</x:v>
      </x:c>
      <x:c r="I55" s="152" t="str">
        <x:v>Passed</x:v>
      </x:c>
      <x:c r="J55" s="145" t="n">
        <x:v>46325</x:v>
      </x:c>
      <x:c r="K55" s="101" t="str">
        <x:v>Minh Trí</x:v>
      </x:c>
      <x:c r="L55" s="101"/>
      <x:c r="M55" s="145"/>
      <x:c r="N55" s="101"/>
      <x:c r="O55" s="155" t="str">
        <x:v>Round 2: đạt; có bằng chứng trong Postman log/JUnit.</x:v>
      </x:c>
    </x:row>
    <x:row r="56" ht="84" customHeight="1">
      <x:c r="A56" s="101" t="s">
        <x:v>290</x:v>
      </x:c>
      <x:c r="B56" s="37" t="s">
        <x:v>291</x:v>
      </x:c>
      <x:c r="C56" s="37" t="s">
        <x:v>292</x:v>
      </x:c>
      <x:c r="D56" s="102" t="s">
        <x:v>293</x:v>
      </x:c>
      <x:c r="E56" s="102" t="s">
        <x:v>294</x:v>
      </x:c>
      <x:c r="F56" s="101" t="str">
        <x:v>Passed</x:v>
      </x:c>
      <x:c r="G56" s="145" t="n">
        <x:v>46323</x:v>
      </x:c>
      <x:c r="H56" s="101" t="str">
        <x:v>Minh Trí</x:v>
      </x:c>
      <x:c r="I56" s="152" t="str">
        <x:v>Pending</x:v>
      </x:c>
      <x:c r="J56" s="145"/>
      <x:c r="K56" s="101"/>
      <x:c r="L56" s="101"/>
      <x:c r="M56" s="145"/>
      <x:c r="N56" s="101"/>
      <x:c r="O56" s="155" t="str">
        <x:v>Chưa có assertion Round 2 ánh xạ trực tiếp tới test case này.</x:v>
      </x:c>
    </x:row>
    <x:row r="57" ht="13.149999618530273" customHeight="1">
      <x:c r="G57" s="138"/>
      <x:c r="H57"/>
      <x:c r="I57" s="153"/>
      <x:c r="J57" s="146"/>
      <x:c r="K57"/>
      <x:c r="L57"/>
      <x:c r="M57" s="146"/>
      <x:c r="N57"/>
      <x:c r="O57" s="156"/>
    </x:row>
    <x:row r="58" ht="13.149999618530273" customHeight="1">
      <x:c r="G58" s="138"/>
      <x:c r="H58"/>
      <x:c r="I58" s="153"/>
      <x:c r="J58" s="146"/>
      <x:c r="K58"/>
      <x:c r="L58"/>
      <x:c r="M58" s="146"/>
      <x:c r="N58"/>
      <x:c r="O58" s="156"/>
    </x:row>
    <x:row r="59" ht="13.149999618530273" customHeight="1">
      <x:c r="G59" s="138"/>
      <x:c r="H59"/>
      <x:c r="I59" s="153"/>
      <x:c r="J59" s="146"/>
      <x:c r="K59"/>
      <x:c r="L59"/>
      <x:c r="M59" s="146"/>
      <x:c r="N59"/>
      <x:c r="O59" s="156"/>
    </x:row>
    <x:row r="60" ht="13.149999618530273" customHeight="1">
      <x:c r="G60" s="138"/>
      <x:c r="H60"/>
      <x:c r="I60" s="153"/>
      <x:c r="J60" s="146"/>
      <x:c r="K60"/>
      <x:c r="L60"/>
      <x:c r="M60" s="146"/>
      <x:c r="N60"/>
      <x:c r="O60" s="156"/>
    </x:row>
    <x:row r="61" ht="13.149999618530273" customHeight="1">
      <x:c r="G61" s="138"/>
      <x:c r="H61"/>
      <x:c r="I61" s="153"/>
      <x:c r="J61" s="146"/>
      <x:c r="K61"/>
      <x:c r="L61"/>
      <x:c r="M61" s="146"/>
      <x:c r="N61"/>
      <x:c r="O61" s="156"/>
    </x:row>
    <x:row r="62" ht="13.149999618530273" customHeight="1">
      <x:c r="G62" s="138"/>
      <x:c r="H62"/>
      <x:c r="I62" s="153"/>
      <x:c r="J62" s="146"/>
      <x:c r="K62"/>
      <x:c r="L62"/>
      <x:c r="M62" s="146"/>
      <x:c r="N62"/>
      <x:c r="O62" s="156"/>
    </x:row>
    <x:row r="63" ht="13.149999618530273" customHeight="1">
      <x:c r="G63" s="138"/>
      <x:c r="H63"/>
      <x:c r="I63" s="153"/>
      <x:c r="J63" s="146"/>
      <x:c r="K63"/>
      <x:c r="L63"/>
      <x:c r="M63" s="146"/>
      <x:c r="N63"/>
      <x:c r="O63" s="156"/>
    </x:row>
    <x:row r="64" ht="13.149999618530273" customHeight="1">
      <x:c r="G64" s="138"/>
      <x:c r="H64"/>
      <x:c r="I64" s="153"/>
      <x:c r="J64" s="146"/>
      <x:c r="K64"/>
      <x:c r="L64"/>
      <x:c r="M64" s="146"/>
      <x:c r="N64"/>
      <x:c r="O64" s="156"/>
    </x:row>
    <x:row r="65" ht="13.149999618530273" customHeight="1">
      <x:c r="G65" s="138"/>
      <x:c r="H65"/>
      <x:c r="I65" s="153"/>
      <x:c r="J65" s="146"/>
      <x:c r="K65"/>
      <x:c r="L65"/>
      <x:c r="M65" s="146"/>
      <x:c r="N65"/>
      <x:c r="O65" s="156"/>
    </x:row>
    <x:row r="66" ht="13.149999618530273" customHeight="1">
      <x:c r="G66" s="138"/>
      <x:c r="H66"/>
      <x:c r="I66" s="153"/>
      <x:c r="J66" s="146"/>
      <x:c r="K66"/>
      <x:c r="L66"/>
      <x:c r="M66" s="146"/>
      <x:c r="N66"/>
      <x:c r="O66" s="156"/>
    </x:row>
    <x:row r="67" ht="13.149999618530273" customHeight="1">
      <x:c r="G67" s="138"/>
      <x:c r="H67"/>
      <x:c r="I67" s="153"/>
      <x:c r="J67" s="146"/>
      <x:c r="K67"/>
      <x:c r="L67"/>
      <x:c r="M67" s="146"/>
      <x:c r="N67"/>
      <x:c r="O67" s="156"/>
    </x:row>
    <x:row r="68" ht="13.149999618530273" customHeight="1">
      <x:c r="G68" s="138"/>
      <x:c r="H68"/>
      <x:c r="I68" s="153"/>
      <x:c r="J68" s="146"/>
      <x:c r="K68"/>
      <x:c r="L68"/>
      <x:c r="M68" s="146"/>
      <x:c r="N68"/>
      <x:c r="O68" s="156"/>
    </x:row>
    <x:row r="69" ht="13.149999618530273" customHeight="1">
      <x:c r="G69" s="138"/>
      <x:c r="H69"/>
      <x:c r="I69" s="153"/>
      <x:c r="J69" s="146"/>
      <x:c r="K69"/>
      <x:c r="L69"/>
      <x:c r="M69" s="146"/>
      <x:c r="N69"/>
      <x:c r="O69" s="156"/>
    </x:row>
    <x:row r="70" ht="13.149999618530273" customHeight="1">
      <x:c r="G70" s="138"/>
      <x:c r="H70"/>
      <x:c r="I70" s="153"/>
      <x:c r="J70" s="146"/>
      <x:c r="K70"/>
      <x:c r="L70"/>
      <x:c r="M70" s="146"/>
      <x:c r="N70"/>
      <x:c r="O70" s="156"/>
    </x:row>
    <x:row r="71" ht="13.149999618530273" customHeight="1">
      <x:c r="G71" s="138"/>
      <x:c r="H71"/>
      <x:c r="I71" s="153"/>
      <x:c r="J71" s="146"/>
      <x:c r="K71"/>
      <x:c r="L71"/>
      <x:c r="M71" s="146"/>
      <x:c r="N71"/>
      <x:c r="O71" s="156"/>
    </x:row>
    <x:row r="72" ht="13.149999618530273" customHeight="1">
      <x:c r="G72" s="138"/>
      <x:c r="H72"/>
      <x:c r="I72" s="153"/>
      <x:c r="J72" s="146"/>
      <x:c r="K72"/>
      <x:c r="L72"/>
      <x:c r="M72" s="146"/>
      <x:c r="N72"/>
      <x:c r="O72" s="156"/>
    </x:row>
    <x:row r="73" ht="13.149999618530273" customHeight="1">
      <x:c r="G73" s="138"/>
      <x:c r="H73"/>
      <x:c r="I73" s="153"/>
      <x:c r="J73" s="146"/>
      <x:c r="K73"/>
      <x:c r="L73"/>
      <x:c r="M73" s="146"/>
      <x:c r="N73"/>
      <x:c r="O73" s="156"/>
    </x:row>
    <x:row r="74" ht="13.149999618530273" customHeight="1">
      <x:c r="G74" s="138"/>
      <x:c r="H74"/>
      <x:c r="I74" s="153"/>
      <x:c r="J74" s="146"/>
      <x:c r="K74"/>
      <x:c r="L74"/>
      <x:c r="M74" s="146"/>
      <x:c r="N74"/>
      <x:c r="O74" s="156"/>
    </x:row>
    <x:row r="75" ht="13.149999618530273" customHeight="1">
      <x:c r="G75" s="138"/>
      <x:c r="H75"/>
      <x:c r="I75" s="153"/>
      <x:c r="J75" s="146"/>
      <x:c r="K75"/>
      <x:c r="L75"/>
      <x:c r="M75" s="146"/>
      <x:c r="N75"/>
      <x:c r="O75" s="156"/>
    </x:row>
    <x:row r="76" ht="13.149999618530273" customHeight="1">
      <x:c r="G76" s="138"/>
      <x:c r="H76"/>
      <x:c r="I76" s="153"/>
      <x:c r="J76" s="146"/>
      <x:c r="K76"/>
      <x:c r="L76"/>
      <x:c r="M76" s="146"/>
      <x:c r="N76"/>
      <x:c r="O76" s="156"/>
    </x:row>
    <x:row r="77" ht="13.149999618530273" customHeight="1">
      <x:c r="G77" s="138"/>
      <x:c r="H77"/>
      <x:c r="I77" s="153"/>
      <x:c r="J77" s="146"/>
      <x:c r="K77"/>
      <x:c r="L77"/>
      <x:c r="M77" s="146"/>
      <x:c r="N77"/>
      <x:c r="O77" s="156"/>
    </x:row>
    <x:row r="78" ht="13.149999618530273" customHeight="1">
      <x:c r="G78" s="138"/>
      <x:c r="H78"/>
      <x:c r="I78" s="153"/>
      <x:c r="J78" s="146"/>
      <x:c r="K78"/>
      <x:c r="L78"/>
      <x:c r="M78" s="146"/>
      <x:c r="N78"/>
      <x:c r="O78" s="156"/>
    </x:row>
    <x:row r="79" ht="13.149999618530273" customHeight="1">
      <x:c r="G79" s="138"/>
      <x:c r="H79"/>
      <x:c r="I79" s="153"/>
      <x:c r="J79" s="146"/>
      <x:c r="K79"/>
      <x:c r="L79"/>
      <x:c r="M79" s="146"/>
      <x:c r="N79"/>
      <x:c r="O79" s="156"/>
    </x:row>
    <x:row r="80" ht="13.149999618530273" customHeight="1">
      <x:c r="G80" s="138"/>
      <x:c r="H80"/>
      <x:c r="I80" s="153"/>
      <x:c r="J80" s="146"/>
      <x:c r="K80"/>
      <x:c r="L80"/>
      <x:c r="M80" s="146"/>
      <x:c r="N80"/>
      <x:c r="O80" s="156"/>
    </x:row>
    <x:row r="81" ht="13.149999618530273" customHeight="1">
      <x:c r="G81" s="138"/>
      <x:c r="H81"/>
      <x:c r="I81" s="153"/>
      <x:c r="J81" s="146"/>
      <x:c r="K81"/>
      <x:c r="L81"/>
      <x:c r="M81" s="146"/>
      <x:c r="N81"/>
      <x:c r="O81" s="156"/>
    </x:row>
    <x:row r="82" ht="13.149999618530273" customHeight="1">
      <x:c r="G82" s="138"/>
      <x:c r="H82"/>
      <x:c r="I82" s="153"/>
      <x:c r="J82" s="146"/>
      <x:c r="K82"/>
      <x:c r="L82"/>
      <x:c r="M82" s="146"/>
      <x:c r="N82"/>
      <x:c r="O82" s="156"/>
    </x:row>
    <x:row r="83" ht="13.149999618530273" customHeight="1">
      <x:c r="G83" s="138"/>
      <x:c r="H83"/>
      <x:c r="I83" s="153"/>
      <x:c r="J83" s="146"/>
      <x:c r="K83"/>
      <x:c r="L83"/>
      <x:c r="M83" s="146"/>
      <x:c r="N83"/>
      <x:c r="O83" s="156"/>
    </x:row>
    <x:row r="84" ht="13.149999618530273" customHeight="1">
      <x:c r="G84" s="138"/>
      <x:c r="H84"/>
      <x:c r="I84" s="153"/>
      <x:c r="J84" s="146"/>
      <x:c r="K84"/>
      <x:c r="L84"/>
      <x:c r="M84" s="146"/>
      <x:c r="N84"/>
      <x:c r="O84" s="156"/>
    </x:row>
    <x:row r="85" ht="13.149999618530273" customHeight="1">
      <x:c r="G85" s="138"/>
      <x:c r="H85"/>
      <x:c r="I85" s="153"/>
      <x:c r="J85" s="146"/>
      <x:c r="K85"/>
      <x:c r="L85"/>
      <x:c r="M85" s="146"/>
      <x:c r="N85"/>
      <x:c r="O85" s="156"/>
    </x:row>
    <x:row r="86" ht="13.149999618530273" customHeight="1">
      <x:c r="G86" s="138"/>
      <x:c r="H86"/>
      <x:c r="I86" s="153"/>
      <x:c r="J86" s="146"/>
      <x:c r="K86"/>
      <x:c r="L86"/>
      <x:c r="M86" s="146"/>
      <x:c r="N86"/>
      <x:c r="O86" s="156"/>
    </x:row>
    <x:row r="87" ht="13.149999618530273" customHeight="1">
      <x:c r="G87" s="138"/>
      <x:c r="H87"/>
      <x:c r="I87" s="153"/>
      <x:c r="J87" s="146"/>
      <x:c r="K87"/>
      <x:c r="L87"/>
      <x:c r="M87" s="146"/>
      <x:c r="N87"/>
      <x:c r="O87" s="156"/>
    </x:row>
    <x:row r="88" ht="13.149999618530273" customHeight="1">
      <x:c r="G88" s="138"/>
      <x:c r="H88"/>
      <x:c r="I88" s="153"/>
      <x:c r="J88" s="146"/>
      <x:c r="K88"/>
      <x:c r="L88"/>
      <x:c r="M88" s="146"/>
      <x:c r="N88"/>
      <x:c r="O88" s="156"/>
    </x:row>
    <x:row r="89" ht="13.149999618530273" customHeight="1">
      <x:c r="G89" s="138"/>
      <x:c r="H89"/>
      <x:c r="I89" s="153"/>
      <x:c r="J89" s="146"/>
      <x:c r="K89"/>
      <x:c r="L89"/>
      <x:c r="M89" s="146"/>
      <x:c r="N89"/>
      <x:c r="O89" s="156"/>
    </x:row>
    <x:row r="90" ht="13.149999618530273" customHeight="1">
      <x:c r="G90" s="138"/>
      <x:c r="H90"/>
      <x:c r="I90" s="153"/>
      <x:c r="J90" s="146"/>
      <x:c r="K90"/>
      <x:c r="L90"/>
      <x:c r="M90" s="146"/>
      <x:c r="N90"/>
      <x:c r="O90" s="156"/>
    </x:row>
    <x:row r="91" ht="13.149999618530273" customHeight="1">
      <x:c r="G91" s="138"/>
      <x:c r="H91"/>
      <x:c r="I91" s="153"/>
      <x:c r="J91" s="146"/>
      <x:c r="K91"/>
      <x:c r="L91"/>
      <x:c r="M91" s="146"/>
      <x:c r="N91"/>
      <x:c r="O91" s="156"/>
    </x:row>
    <x:row r="92" ht="13.149999618530273" customHeight="1">
      <x:c r="G92" s="138"/>
      <x:c r="H92"/>
      <x:c r="I92" s="153"/>
      <x:c r="J92" s="146"/>
      <x:c r="K92"/>
      <x:c r="L92"/>
      <x:c r="M92" s="146"/>
      <x:c r="N92"/>
      <x:c r="O92" s="156"/>
    </x:row>
    <x:row r="93" ht="13.149999618530273" customHeight="1">
      <x:c r="G93" s="138"/>
      <x:c r="H93"/>
      <x:c r="I93" s="153"/>
      <x:c r="J93" s="146"/>
      <x:c r="K93"/>
      <x:c r="L93"/>
      <x:c r="M93" s="146"/>
      <x:c r="N93"/>
      <x:c r="O93" s="156"/>
    </x:row>
    <x:row r="94" ht="13.149999618530273" customHeight="1">
      <x:c r="G94" s="138"/>
      <x:c r="H94"/>
      <x:c r="I94" s="153"/>
      <x:c r="J94" s="146"/>
      <x:c r="K94"/>
      <x:c r="L94"/>
      <x:c r="M94" s="146"/>
      <x:c r="N94"/>
      <x:c r="O94" s="156"/>
    </x:row>
    <x:row r="95" ht="13.149999618530273" customHeight="1">
      <x:c r="G95" s="138"/>
      <x:c r="H95"/>
      <x:c r="I95" s="153"/>
      <x:c r="J95" s="146"/>
      <x:c r="K95"/>
      <x:c r="L95"/>
      <x:c r="M95" s="146"/>
      <x:c r="N95"/>
      <x:c r="O95" s="156"/>
    </x:row>
    <x:row r="96" ht="13.149999618530273" customHeight="1">
      <x:c r="G96" s="138"/>
      <x:c r="H96"/>
      <x:c r="I96" s="153"/>
      <x:c r="J96" s="146"/>
      <x:c r="K96"/>
      <x:c r="L96"/>
      <x:c r="M96" s="146"/>
      <x:c r="N96"/>
      <x:c r="O96" s="156"/>
    </x:row>
    <x:row r="97" ht="13.149999618530273" customHeight="1">
      <x:c r="G97" s="138"/>
      <x:c r="H97"/>
      <x:c r="I97" s="153"/>
      <x:c r="J97" s="146"/>
      <x:c r="K97"/>
      <x:c r="L97"/>
      <x:c r="M97" s="146"/>
      <x:c r="N97"/>
      <x:c r="O97" s="156"/>
    </x:row>
    <x:row r="98" ht="13.149999618530273" customHeight="1">
      <x:c r="G98" s="138"/>
      <x:c r="H98"/>
      <x:c r="I98" s="153"/>
      <x:c r="J98" s="146"/>
      <x:c r="K98"/>
      <x:c r="L98"/>
      <x:c r="M98" s="146"/>
      <x:c r="N98"/>
      <x:c r="O98" s="156"/>
    </x:row>
    <x:row r="99" ht="13.149999618530273" customHeight="1">
      <x:c r="G99" s="138"/>
      <x:c r="H99"/>
      <x:c r="I99" s="153"/>
      <x:c r="J99" s="146"/>
      <x:c r="K99"/>
      <x:c r="L99"/>
      <x:c r="M99" s="146"/>
      <x:c r="N99"/>
      <x:c r="O99" s="156"/>
    </x:row>
    <x:row r="100" ht="13.149999618530273" customHeight="1">
      <x:c r="G100" s="138"/>
      <x:c r="H100"/>
      <x:c r="I100" s="153"/>
      <x:c r="J100" s="146"/>
      <x:c r="K100"/>
      <x:c r="L100"/>
      <x:c r="M100" s="146"/>
      <x:c r="N100"/>
      <x:c r="O100" s="156"/>
    </x:row>
  </x:sheetData>
  <x:mergeCells>
    <x:mergeCell ref="B3:E3"/>
    <x:mergeCell ref="B2:E2"/>
    <x:mergeCell ref="B4:E4"/>
  </x:mergeCells>
  <x:dataValidations count="1">
    <x:dataValidation type="list" allowBlank="1" sqref="F11:F106 I11:I106 L11:L106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4ae780ba1d4d4afe"/>
</x:worksheet>
</file>

<file path=xl/worksheets/sheet5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52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295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48" customHeight="1">
      <x:c r="A3" s="83" t="s">
        <x:v>111</x:v>
      </x:c>
      <x:c r="B3" s="133" t="s">
        <x:v>296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37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26</x:v>
      </x:c>
      <x:c r="C6" s="90" t="n">
        <x:v>11</x:v>
      </x:c>
      <x:c r="D6" s="90" t="n">
        <x:v>0</x:v>
      </x:c>
      <x:c r="E6" s="91" t="n">
        <x:v>0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 t="str">
        <x:v>Round 2</x:v>
      </x:c>
      <x:c r="B7" s="90" t="n">
        <x:v>31</x:v>
      </x:c>
      <x:c r="C7" s="90" t="n">
        <x:v>4</x:v>
      </x:c>
      <x:c r="D7" s="90" t="n">
        <x:v>2</x:v>
      </x:c>
      <x:c r="E7" s="91" t="n">
        <x:v>0</x:v>
      </x:c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149" t="str">
        <x:v>Round 2</x:v>
      </x:c>
      <x:c r="J10" s="150" t="str">
        <x:v>Test date</x:v>
      </x:c>
      <x:c r="K10" s="149" t="str">
        <x:v>Tester</x:v>
      </x:c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38</x:v>
      </x:c>
      <x:c r="B11" s="98"/>
      <x:c r="C11" s="99"/>
      <x:c r="D11" s="99"/>
      <x:c r="E11" s="99"/>
      <x:c r="F11" s="99"/>
      <x:c r="G11" s="144"/>
      <x:c r="H11" s="99"/>
      <x:c r="I11" s="151"/>
      <x:c r="J11" s="144"/>
      <x:c r="K11" s="99"/>
      <x:c r="L11" s="99"/>
      <x:c r="M11" s="144"/>
      <x:c r="N11" s="99"/>
      <x:c r="O11" s="154"/>
      <x:c r="Q11" s="100"/>
    </x:row>
    <x:row r="12" ht="72" customHeight="1">
      <x:c r="A12" s="101" t="s">
        <x:v>297</x:v>
      </x:c>
      <x:c r="B12" s="37" t="s">
        <x:v>298</x:v>
      </x:c>
      <x:c r="C12" s="37" t="s">
        <x:v>299</x:v>
      </x:c>
      <x:c r="D12" s="102" t="s">
        <x:v>300</x:v>
      </x:c>
      <x:c r="E12" s="102" t="s">
        <x:v>301</x:v>
      </x:c>
      <x:c r="F12" s="101" t="str">
        <x:v>Passed</x:v>
      </x:c>
      <x:c r="G12" s="145" t="n">
        <x:v>46323</x:v>
      </x:c>
      <x:c r="H12" s="101" t="str">
        <x:v>Minh Trí</x:v>
      </x:c>
      <x:c r="I12" s="152" t="str">
        <x:v>Passed</x:v>
      </x:c>
      <x:c r="J12" s="145" t="n">
        <x:v>46325</x:v>
      </x:c>
      <x:c r="K12" s="101" t="str">
        <x:v>Minh Trí</x:v>
      </x:c>
      <x:c r="L12" s="101"/>
      <x:c r="M12" s="145"/>
      <x:c r="N12" s="101"/>
      <x:c r="O12" s="155" t="str">
        <x:v>Round 2: đạt; có bằng chứng trong Postman log/JUnit.</x:v>
      </x:c>
      <x:c r="Q12" s="103"/>
    </x:row>
    <x:row r="13" ht="120" customHeight="1">
      <x:c r="A13" s="101" t="s">
        <x:v>302</x:v>
      </x:c>
      <x:c r="B13" s="37" t="s">
        <x:v>303</x:v>
      </x:c>
      <x:c r="C13" s="37" t="s">
        <x:v>304</x:v>
      </x:c>
      <x:c r="D13" s="102" t="s">
        <x:v>305</x:v>
      </x:c>
      <x:c r="E13" s="102" t="s">
        <x:v>306</x:v>
      </x:c>
      <x:c r="F13" s="101" t="str">
        <x:v>Passed</x:v>
      </x:c>
      <x:c r="G13" s="145" t="n">
        <x:v>46323</x:v>
      </x:c>
      <x:c r="H13" s="101" t="str">
        <x:v>Minh Trí</x:v>
      </x:c>
      <x:c r="I13" s="152" t="str">
        <x:v>Passed</x:v>
      </x:c>
      <x:c r="J13" s="145" t="n">
        <x:v>46325</x:v>
      </x:c>
      <x:c r="K13" s="101" t="str">
        <x:v>Minh Trí</x:v>
      </x:c>
      <x:c r="L13" s="101"/>
      <x:c r="M13" s="145"/>
      <x:c r="N13" s="101"/>
      <x:c r="O13" s="155" t="str">
        <x:v>Round 2: đạt; có bằng chứng trong Postman log/JUnit.</x:v>
      </x:c>
      <x:c r="Q13" s="103"/>
    </x:row>
    <x:row r="14" ht="48" customHeight="1">
      <x:c r="A14" s="101" t="s">
        <x:v>307</x:v>
      </x:c>
      <x:c r="B14" s="37" t="s">
        <x:v>308</x:v>
      </x:c>
      <x:c r="C14" s="37" t="s">
        <x:v>309</x:v>
      </x:c>
      <x:c r="D14" s="102" t="s">
        <x:v>310</x:v>
      </x:c>
      <x:c r="E14" s="102" t="s">
        <x:v>26</x:v>
      </x:c>
      <x:c r="F14" s="101" t="str">
        <x:v>Passed</x:v>
      </x:c>
      <x:c r="G14" s="145" t="n">
        <x:v>46323</x:v>
      </x:c>
      <x:c r="H14" s="101" t="str">
        <x:v>Minh Trí</x:v>
      </x:c>
      <x:c r="I14" s="152" t="str">
        <x:v>Passed</x:v>
      </x:c>
      <x:c r="J14" s="145" t="n">
        <x:v>46325</x:v>
      </x:c>
      <x:c r="K14" s="101" t="str">
        <x:v>Minh Trí</x:v>
      </x:c>
      <x:c r="L14" s="101"/>
      <x:c r="M14" s="145"/>
      <x:c r="N14" s="101"/>
      <x:c r="O14" s="155" t="str">
        <x:v>Round 2: đạt; có bằng chứng trong Postman log/JUnit.</x:v>
      </x:c>
      <x:c r="Q14" s="103"/>
    </x:row>
    <x:row r="15" ht="72" customHeight="1">
      <x:c r="A15" s="101" t="s">
        <x:v>311</x:v>
      </x:c>
      <x:c r="B15" s="37" t="s">
        <x:v>312</x:v>
      </x:c>
      <x:c r="C15" s="37" t="s">
        <x:v>313</x:v>
      </x:c>
      <x:c r="D15" s="102" t="s">
        <x:v>314</x:v>
      </x:c>
      <x:c r="E15" s="102" t="s">
        <x:v>26</x:v>
      </x:c>
      <x:c r="F15" s="101" t="str">
        <x:v>Passed</x:v>
      </x:c>
      <x:c r="G15" s="145" t="n">
        <x:v>46323</x:v>
      </x:c>
      <x:c r="H15" s="101" t="str">
        <x:v>Minh Trí</x:v>
      </x:c>
      <x:c r="I15" s="152" t="str">
        <x:v>Passed</x:v>
      </x:c>
      <x:c r="J15" s="145" t="n">
        <x:v>46325</x:v>
      </x:c>
      <x:c r="K15" s="101" t="str">
        <x:v>Minh Trí</x:v>
      </x:c>
      <x:c r="L15" s="101"/>
      <x:c r="M15" s="145"/>
      <x:c r="N15" s="101"/>
      <x:c r="O15" s="155" t="str">
        <x:v>Round 2: đạt; có bằng chứng trong Postman log/JUnit.</x:v>
      </x:c>
      <x:c r="Q15" s="100"/>
    </x:row>
    <x:row r="16" ht="12.75" customHeight="1">
      <x:c r="A16" s="98" t="s">
        <x:v>42</x:v>
      </x:c>
      <x:c r="B16" s="98"/>
      <x:c r="C16" s="99"/>
      <x:c r="D16" s="99"/>
      <x:c r="E16" s="99"/>
      <x:c r="F16" s="99"/>
      <x:c r="G16" s="144"/>
      <x:c r="H16" s="99"/>
      <x:c r="I16" s="151"/>
      <x:c r="J16" s="144"/>
      <x:c r="K16" s="99"/>
      <x:c r="L16" s="99"/>
      <x:c r="M16" s="144"/>
      <x:c r="N16" s="99"/>
      <x:c r="O16" s="154"/>
      <x:c r="Q16" s="103"/>
    </x:row>
    <x:row r="17" ht="72" customHeight="1">
      <x:c r="A17" s="101" t="s">
        <x:v>315</x:v>
      </x:c>
      <x:c r="B17" s="37" t="s">
        <x:v>316</x:v>
      </x:c>
      <x:c r="C17" s="37" t="s">
        <x:v>317</x:v>
      </x:c>
      <x:c r="D17" s="102" t="s">
        <x:v>318</x:v>
      </x:c>
      <x:c r="E17" s="102" t="s">
        <x:v>319</x:v>
      </x:c>
      <x:c r="F17" s="101" t="str">
        <x:v>Passed</x:v>
      </x:c>
      <x:c r="G17" s="145" t="n">
        <x:v>46323</x:v>
      </x:c>
      <x:c r="H17" s="101" t="str">
        <x:v>Minh Trí</x:v>
      </x:c>
      <x:c r="I17" s="152" t="str">
        <x:v>Passed</x:v>
      </x:c>
      <x:c r="J17" s="145" t="n">
        <x:v>46325</x:v>
      </x:c>
      <x:c r="K17" s="101" t="str">
        <x:v>Minh Trí</x:v>
      </x:c>
      <x:c r="L17" s="101"/>
      <x:c r="M17" s="145"/>
      <x:c r="N17" s="101"/>
      <x:c r="O17" s="155" t="str">
        <x:v>Round 2: đạt; có bằng chứng trong Postman log/JUnit.</x:v>
      </x:c>
    </x:row>
    <x:row r="18" ht="60" customHeight="1">
      <x:c r="A18" s="101" t="s">
        <x:v>320</x:v>
      </x:c>
      <x:c r="B18" s="37" t="s">
        <x:v>321</x:v>
      </x:c>
      <x:c r="C18" s="37" t="s">
        <x:v>322</x:v>
      </x:c>
      <x:c r="D18" s="102" t="s">
        <x:v>323</x:v>
      </x:c>
      <x:c r="E18" s="102" t="s">
        <x:v>319</x:v>
      </x:c>
      <x:c r="F18" s="101" t="str">
        <x:v>Passed</x:v>
      </x:c>
      <x:c r="G18" s="145" t="n">
        <x:v>46323</x:v>
      </x:c>
      <x:c r="H18" s="101" t="str">
        <x:v>Minh Trí</x:v>
      </x:c>
      <x:c r="I18" s="152" t="str">
        <x:v>Passed</x:v>
      </x:c>
      <x:c r="J18" s="145" t="n">
        <x:v>46325</x:v>
      </x:c>
      <x:c r="K18" s="101" t="str">
        <x:v>Minh Trí</x:v>
      </x:c>
      <x:c r="L18" s="101"/>
      <x:c r="M18" s="145"/>
      <x:c r="N18" s="101"/>
      <x:c r="O18" s="155" t="str">
        <x:v>Round 2: đạt; có bằng chứng trong Postman log/JUnit.</x:v>
      </x:c>
    </x:row>
    <x:row r="19" ht="60" customHeight="1">
      <x:c r="A19" s="101" t="s">
        <x:v>324</x:v>
      </x:c>
      <x:c r="B19" s="37" t="s">
        <x:v>325</x:v>
      </x:c>
      <x:c r="C19" s="37" t="s">
        <x:v>326</x:v>
      </x:c>
      <x:c r="D19" s="102" t="s">
        <x:v>327</x:v>
      </x:c>
      <x:c r="E19" s="102" t="s">
        <x:v>328</x:v>
      </x:c>
      <x:c r="F19" s="101" t="str">
        <x:v>Passed</x:v>
      </x:c>
      <x:c r="G19" s="145" t="n">
        <x:v>46323</x:v>
      </x:c>
      <x:c r="H19" s="101" t="str">
        <x:v>Minh Trí</x:v>
      </x:c>
      <x:c r="I19" s="152" t="str">
        <x:v>Passed</x:v>
      </x:c>
      <x:c r="J19" s="145" t="n">
        <x:v>46325</x:v>
      </x:c>
      <x:c r="K19" s="101" t="str">
        <x:v>Minh Trí</x:v>
      </x:c>
      <x:c r="L19" s="101"/>
      <x:c r="M19" s="145"/>
      <x:c r="N19" s="101"/>
      <x:c r="O19" s="155" t="str">
        <x:v>Round 2: đạt; có bằng chứng trong Postman log/JUnit.</x:v>
      </x:c>
    </x:row>
    <x:row r="20" ht="72" customHeight="1">
      <x:c r="A20" s="101" t="s">
        <x:v>329</x:v>
      </x:c>
      <x:c r="B20" s="37" t="s">
        <x:v>330</x:v>
      </x:c>
      <x:c r="C20" s="37" t="s">
        <x:v>331</x:v>
      </x:c>
      <x:c r="D20" s="102" t="s">
        <x:v>332</x:v>
      </x:c>
      <x:c r="E20" s="102" t="s">
        <x:v>26</x:v>
      </x:c>
      <x:c r="F20" s="101" t="str">
        <x:v>Failed</x:v>
      </x:c>
      <x:c r="G20" s="145" t="n">
        <x:v>46323</x:v>
      </x:c>
      <x:c r="H20" s="101" t="str">
        <x:v>Minh Trí</x:v>
      </x:c>
      <x:c r="I20" s="152" t="str">
        <x:v>Passed</x:v>
      </x:c>
      <x:c r="J20" s="145" t="n">
        <x:v>46325</x:v>
      </x:c>
      <x:c r="K20" s="101" t="str">
        <x:v>Minh Trí</x:v>
      </x:c>
      <x:c r="L20" s="101"/>
      <x:c r="M20" s="145"/>
      <x:c r="N20" s="101"/>
      <x:c r="O20" s="155" t="str">
        <x:v>Round 2: đạt; có bằng chứng trong Postman log/JUnit.</x:v>
      </x:c>
    </x:row>
    <x:row r="21" ht="12.75" customHeight="1">
      <x:c r="A21" s="98" t="s">
        <x:v>45</x:v>
      </x:c>
      <x:c r="B21" s="98"/>
      <x:c r="C21" s="99"/>
      <x:c r="D21" s="99"/>
      <x:c r="E21" s="99"/>
      <x:c r="F21" s="99"/>
      <x:c r="G21" s="144"/>
      <x:c r="H21" s="99"/>
      <x:c r="I21" s="151"/>
      <x:c r="J21" s="144"/>
      <x:c r="K21" s="99"/>
      <x:c r="L21" s="99"/>
      <x:c r="M21" s="144"/>
      <x:c r="N21" s="99"/>
      <x:c r="O21" s="154"/>
    </x:row>
    <x:row r="22" ht="48" customHeight="1">
      <x:c r="A22" s="101" t="s">
        <x:v>333</x:v>
      </x:c>
      <x:c r="B22" s="37" t="s">
        <x:v>334</x:v>
      </x:c>
      <x:c r="C22" s="37" t="s">
        <x:v>335</x:v>
      </x:c>
      <x:c r="D22" s="102" t="s">
        <x:v>336</x:v>
      </x:c>
      <x:c r="E22" s="102" t="s">
        <x:v>47</x:v>
      </x:c>
      <x:c r="F22" s="101" t="str">
        <x:v>Passed</x:v>
      </x:c>
      <x:c r="G22" s="145" t="n">
        <x:v>46323</x:v>
      </x:c>
      <x:c r="H22" s="101" t="str">
        <x:v>Minh Trí</x:v>
      </x:c>
      <x:c r="I22" s="152" t="str">
        <x:v>Passed</x:v>
      </x:c>
      <x:c r="J22" s="145" t="n">
        <x:v>46325</x:v>
      </x:c>
      <x:c r="K22" s="101" t="str">
        <x:v>Minh Trí</x:v>
      </x:c>
      <x:c r="L22" s="101"/>
      <x:c r="M22" s="145"/>
      <x:c r="N22" s="101"/>
      <x:c r="O22" s="155" t="str">
        <x:v>Round 2: đạt; có bằng chứng trong Postman log/JUnit.</x:v>
      </x:c>
    </x:row>
    <x:row r="23" ht="48" customHeight="1">
      <x:c r="A23" s="101" t="s">
        <x:v>337</x:v>
      </x:c>
      <x:c r="B23" s="37" t="s">
        <x:v>338</x:v>
      </x:c>
      <x:c r="C23" s="37" t="s">
        <x:v>339</x:v>
      </x:c>
      <x:c r="D23" s="102" t="s">
        <x:v>340</x:v>
      </x:c>
      <x:c r="E23" s="102" t="s">
        <x:v>26</x:v>
      </x:c>
      <x:c r="F23" s="101" t="str">
        <x:v>Passed</x:v>
      </x:c>
      <x:c r="G23" s="145" t="n">
        <x:v>46323</x:v>
      </x:c>
      <x:c r="H23" s="101" t="str">
        <x:v>Minh Trí</x:v>
      </x:c>
      <x:c r="I23" s="152" t="str">
        <x:v>Passed</x:v>
      </x:c>
      <x:c r="J23" s="145" t="n">
        <x:v>46325</x:v>
      </x:c>
      <x:c r="K23" s="101" t="str">
        <x:v>Minh Trí</x:v>
      </x:c>
      <x:c r="L23" s="101"/>
      <x:c r="M23" s="145"/>
      <x:c r="N23" s="101"/>
      <x:c r="O23" s="155" t="str">
        <x:v>Round 2: đạt; có bằng chứng trong Postman log/JUnit.</x:v>
      </x:c>
    </x:row>
    <x:row r="24" ht="60" customHeight="1">
      <x:c r="A24" s="101" t="s">
        <x:v>341</x:v>
      </x:c>
      <x:c r="B24" s="37" t="s">
        <x:v>342</x:v>
      </x:c>
      <x:c r="C24" s="37" t="s">
        <x:v>343</x:v>
      </x:c>
      <x:c r="D24" s="102" t="s">
        <x:v>344</x:v>
      </x:c>
      <x:c r="E24" s="102" t="s">
        <x:v>47</x:v>
      </x:c>
      <x:c r="F24" s="101" t="str">
        <x:v>Passed</x:v>
      </x:c>
      <x:c r="G24" s="145" t="n">
        <x:v>46323</x:v>
      </x:c>
      <x:c r="H24" s="101" t="str">
        <x:v>Minh Trí</x:v>
      </x:c>
      <x:c r="I24" s="152" t="str">
        <x:v>Passed</x:v>
      </x:c>
      <x:c r="J24" s="145" t="n">
        <x:v>46325</x:v>
      </x:c>
      <x:c r="K24" s="101" t="str">
        <x:v>Minh Trí</x:v>
      </x:c>
      <x:c r="L24" s="101"/>
      <x:c r="M24" s="145"/>
      <x:c r="N24" s="101"/>
      <x:c r="O24" s="155" t="str">
        <x:v>Round 2: đạt; có bằng chứng trong Postman log/JUnit.</x:v>
      </x:c>
    </x:row>
    <x:row r="25" ht="60" customHeight="1">
      <x:c r="A25" s="101" t="s">
        <x:v>345</x:v>
      </x:c>
      <x:c r="B25" s="37" t="s">
        <x:v>346</x:v>
      </x:c>
      <x:c r="C25" s="37" t="s">
        <x:v>347</x:v>
      </x:c>
      <x:c r="D25" s="102" t="s">
        <x:v>348</x:v>
      </x:c>
      <x:c r="E25" s="102" t="s">
        <x:v>26</x:v>
      </x:c>
      <x:c r="F25" s="101" t="str">
        <x:v>Passed</x:v>
      </x:c>
      <x:c r="G25" s="145" t="n">
        <x:v>46323</x:v>
      </x:c>
      <x:c r="H25" s="101" t="str">
        <x:v>Minh Trí</x:v>
      </x:c>
      <x:c r="I25" s="152" t="str">
        <x:v>Passed</x:v>
      </x:c>
      <x:c r="J25" s="145" t="n">
        <x:v>46325</x:v>
      </x:c>
      <x:c r="K25" s="101" t="str">
        <x:v>Minh Trí</x:v>
      </x:c>
      <x:c r="L25" s="101"/>
      <x:c r="M25" s="145"/>
      <x:c r="N25" s="101"/>
      <x:c r="O25" s="155" t="str">
        <x:v>Round 2: đạt; có bằng chứng trong Postman log/JUnit.</x:v>
      </x:c>
    </x:row>
    <x:row r="26" ht="12.75" customHeight="1">
      <x:c r="A26" s="98" t="s">
        <x:v>48</x:v>
      </x:c>
      <x:c r="B26" s="98"/>
      <x:c r="C26" s="99"/>
      <x:c r="D26" s="99"/>
      <x:c r="E26" s="99"/>
      <x:c r="F26" s="99"/>
      <x:c r="G26" s="144"/>
      <x:c r="H26" s="99"/>
      <x:c r="I26" s="151"/>
      <x:c r="J26" s="144"/>
      <x:c r="K26" s="99"/>
      <x:c r="L26" s="99"/>
      <x:c r="M26" s="144"/>
      <x:c r="N26" s="99"/>
      <x:c r="O26" s="154"/>
      <x:c r="Q26" s="100"/>
    </x:row>
    <x:row r="27" ht="132" customHeight="1">
      <x:c r="A27" s="101" t="s">
        <x:v>349</x:v>
      </x:c>
      <x:c r="B27" s="37" t="s">
        <x:v>350</x:v>
      </x:c>
      <x:c r="C27" s="37" t="s">
        <x:v>351</x:v>
      </x:c>
      <x:c r="D27" s="102" t="s">
        <x:v>352</x:v>
      </x:c>
      <x:c r="E27" s="102" t="s">
        <x:v>50</x:v>
      </x:c>
      <x:c r="F27" s="101" t="str">
        <x:v>Failed</x:v>
      </x:c>
      <x:c r="G27" s="145" t="n">
        <x:v>46323</x:v>
      </x:c>
      <x:c r="H27" s="101" t="str">
        <x:v>Minh Trí</x:v>
      </x:c>
      <x:c r="I27" s="152" t="str">
        <x:v>Passed</x:v>
      </x:c>
      <x:c r="J27" s="145" t="n">
        <x:v>46325</x:v>
      </x:c>
      <x:c r="K27" s="101" t="str">
        <x:v>Minh Trí</x:v>
      </x:c>
      <x:c r="L27" s="101"/>
      <x:c r="M27" s="145"/>
      <x:c r="N27" s="101"/>
      <x:c r="O27" s="155" t="str">
        <x:v>Round 2: đạt; có bằng chứng trong Postman log/JUnit.</x:v>
      </x:c>
      <x:c r="Q27" s="103"/>
    </x:row>
    <x:row r="28" ht="132" customHeight="1">
      <x:c r="A28" s="101" t="s">
        <x:v>353</x:v>
      </x:c>
      <x:c r="B28" s="37" t="s">
        <x:v>354</x:v>
      </x:c>
      <x:c r="C28" s="37" t="s">
        <x:v>355</x:v>
      </x:c>
      <x:c r="D28" s="102" t="s">
        <x:v>356</x:v>
      </x:c>
      <x:c r="E28" s="102" t="s">
        <x:v>50</x:v>
      </x:c>
      <x:c r="F28" s="101" t="str">
        <x:v>Failed</x:v>
      </x:c>
      <x:c r="G28" s="145" t="n">
        <x:v>46323</x:v>
      </x:c>
      <x:c r="H28" s="101" t="str">
        <x:v>Minh Trí</x:v>
      </x:c>
      <x:c r="I28" s="152" t="str">
        <x:v>Passed</x:v>
      </x:c>
      <x:c r="J28" s="145" t="n">
        <x:v>46325</x:v>
      </x:c>
      <x:c r="K28" s="101" t="str">
        <x:v>Minh Trí</x:v>
      </x:c>
      <x:c r="L28" s="101"/>
      <x:c r="M28" s="145"/>
      <x:c r="N28" s="101"/>
      <x:c r="O28" s="155" t="str">
        <x:v>Round 2: đạt; có bằng chứng trong Postman log/JUnit.</x:v>
      </x:c>
      <x:c r="Q28" s="103"/>
    </x:row>
    <x:row r="29" ht="132" customHeight="1">
      <x:c r="A29" s="101" t="s">
        <x:v>357</x:v>
      </x:c>
      <x:c r="B29" s="37" t="s">
        <x:v>358</x:v>
      </x:c>
      <x:c r="C29" s="37" t="s">
        <x:v>359</x:v>
      </x:c>
      <x:c r="D29" s="102" t="s">
        <x:v>360</x:v>
      </x:c>
      <x:c r="E29" s="102" t="s">
        <x:v>361</x:v>
      </x:c>
      <x:c r="F29" s="101" t="str">
        <x:v>Failed</x:v>
      </x:c>
      <x:c r="G29" s="145" t="n">
        <x:v>46323</x:v>
      </x:c>
      <x:c r="H29" s="101" t="str">
        <x:v>Minh Trí</x:v>
      </x:c>
      <x:c r="I29" s="152" t="str">
        <x:v>Passed</x:v>
      </x:c>
      <x:c r="J29" s="145" t="n">
        <x:v>46325</x:v>
      </x:c>
      <x:c r="K29" s="101" t="str">
        <x:v>Minh Trí</x:v>
      </x:c>
      <x:c r="L29" s="101"/>
      <x:c r="M29" s="145"/>
      <x:c r="N29" s="101"/>
      <x:c r="O29" s="155" t="str">
        <x:v>Round 2: đạt; có bằng chứng trong Postman log/JUnit.</x:v>
      </x:c>
      <x:c r="Q29" s="103"/>
    </x:row>
    <x:row r="30" ht="12.75" customHeight="1">
      <x:c r="A30" s="98" t="s">
        <x:v>51</x:v>
      </x:c>
      <x:c r="B30" s="98"/>
      <x:c r="C30" s="99"/>
      <x:c r="D30" s="99"/>
      <x:c r="E30" s="99"/>
      <x:c r="F30" s="99"/>
      <x:c r="G30" s="144"/>
      <x:c r="H30" s="99"/>
      <x:c r="I30" s="151"/>
      <x:c r="J30" s="144"/>
      <x:c r="K30" s="99"/>
      <x:c r="L30" s="99"/>
      <x:c r="M30" s="144"/>
      <x:c r="N30" s="99"/>
      <x:c r="O30" s="154"/>
      <x:c r="Q30" s="100"/>
    </x:row>
    <x:row r="31" ht="132" customHeight="1">
      <x:c r="A31" s="101" t="s">
        <x:v>362</x:v>
      </x:c>
      <x:c r="B31" s="37" t="s">
        <x:v>363</x:v>
      </x:c>
      <x:c r="C31" s="37" t="s">
        <x:v>364</x:v>
      </x:c>
      <x:c r="D31" s="102" t="s">
        <x:v>365</x:v>
      </x:c>
      <x:c r="E31" s="102" t="s">
        <x:v>50</x:v>
      </x:c>
      <x:c r="F31" s="101" t="str">
        <x:v>Passed</x:v>
      </x:c>
      <x:c r="G31" s="145" t="n">
        <x:v>46323</x:v>
      </x:c>
      <x:c r="H31" s="101" t="str">
        <x:v>Minh Trí</x:v>
      </x:c>
      <x:c r="I31" s="152" t="str">
        <x:v>Passed</x:v>
      </x:c>
      <x:c r="J31" s="145" t="n">
        <x:v>46325</x:v>
      </x:c>
      <x:c r="K31" s="101" t="str">
        <x:v>Minh Trí</x:v>
      </x:c>
      <x:c r="L31" s="101"/>
      <x:c r="M31" s="145"/>
      <x:c r="N31" s="101"/>
      <x:c r="O31" s="155" t="str">
        <x:v>Round 2: đạt; có bằng chứng trong Postman log/JUnit.</x:v>
      </x:c>
      <x:c r="Q31" s="103"/>
    </x:row>
    <x:row r="32" ht="132" customHeight="1">
      <x:c r="A32" s="101" t="s">
        <x:v>366</x:v>
      </x:c>
      <x:c r="B32" s="37" t="s">
        <x:v>367</x:v>
      </x:c>
      <x:c r="C32" s="37" t="s">
        <x:v>368</x:v>
      </x:c>
      <x:c r="D32" s="102" t="s">
        <x:v>369</x:v>
      </x:c>
      <x:c r="E32" s="102" t="s">
        <x:v>370</x:v>
      </x:c>
      <x:c r="F32" s="101" t="str">
        <x:v>Passed</x:v>
      </x:c>
      <x:c r="G32" s="145" t="n">
        <x:v>46323</x:v>
      </x:c>
      <x:c r="H32" s="101" t="str">
        <x:v>Minh Trí</x:v>
      </x:c>
      <x:c r="I32" s="152" t="str">
        <x:v>Passed</x:v>
      </x:c>
      <x:c r="J32" s="145" t="n">
        <x:v>46325</x:v>
      </x:c>
      <x:c r="K32" s="101" t="str">
        <x:v>Minh Trí</x:v>
      </x:c>
      <x:c r="L32" s="101"/>
      <x:c r="M32" s="145"/>
      <x:c r="N32" s="101"/>
      <x:c r="O32" s="155" t="str">
        <x:v>Round 2: đạt; có bằng chứng trong Postman log/JUnit.</x:v>
      </x:c>
    </x:row>
    <x:row r="33" ht="132" customHeight="1">
      <x:c r="A33" s="101" t="s">
        <x:v>371</x:v>
      </x:c>
      <x:c r="B33" s="37" t="s">
        <x:v>372</x:v>
      </x:c>
      <x:c r="C33" s="37" t="s">
        <x:v>373</x:v>
      </x:c>
      <x:c r="D33" s="102" t="s">
        <x:v>374</x:v>
      </x:c>
      <x:c r="E33" s="102" t="s">
        <x:v>375</x:v>
      </x:c>
      <x:c r="F33" s="101" t="str">
        <x:v>Passed</x:v>
      </x:c>
      <x:c r="G33" s="145" t="n">
        <x:v>46323</x:v>
      </x:c>
      <x:c r="H33" s="101" t="str">
        <x:v>Minh Trí</x:v>
      </x:c>
      <x:c r="I33" s="152" t="str">
        <x:v>Passed</x:v>
      </x:c>
      <x:c r="J33" s="145" t="n">
        <x:v>46325</x:v>
      </x:c>
      <x:c r="K33" s="101" t="str">
        <x:v>Minh Trí</x:v>
      </x:c>
      <x:c r="L33" s="101"/>
      <x:c r="M33" s="145"/>
      <x:c r="N33" s="101"/>
      <x:c r="O33" s="155" t="str">
        <x:v>Round 2: đạt; có bằng chứng trong Postman log/JUnit.</x:v>
      </x:c>
      <x:c r="Q33" s="100"/>
    </x:row>
    <x:row r="34" ht="12.75" customHeight="1">
      <x:c r="A34" s="98" t="s">
        <x:v>53</x:v>
      </x:c>
      <x:c r="B34" s="98"/>
      <x:c r="C34" s="99"/>
      <x:c r="D34" s="99"/>
      <x:c r="E34" s="99"/>
      <x:c r="F34" s="99"/>
      <x:c r="G34" s="144"/>
      <x:c r="H34" s="99"/>
      <x:c r="I34" s="151"/>
      <x:c r="J34" s="144"/>
      <x:c r="K34" s="99"/>
      <x:c r="L34" s="99"/>
      <x:c r="M34" s="144"/>
      <x:c r="N34" s="99"/>
      <x:c r="O34" s="154"/>
      <x:c r="Q34" s="103"/>
    </x:row>
    <x:row r="35" ht="120" customHeight="1">
      <x:c r="A35" s="101" t="s">
        <x:v>376</x:v>
      </x:c>
      <x:c r="B35" s="37" t="s">
        <x:v>377</x:v>
      </x:c>
      <x:c r="C35" s="37" t="s">
        <x:v>378</x:v>
      </x:c>
      <x:c r="D35" s="102" t="s">
        <x:v>379</x:v>
      </x:c>
      <x:c r="E35" s="102" t="s">
        <x:v>50</x:v>
      </x:c>
      <x:c r="F35" s="101" t="str">
        <x:v>Passed</x:v>
      </x:c>
      <x:c r="G35" s="145" t="n">
        <x:v>46323</x:v>
      </x:c>
      <x:c r="H35" s="101" t="str">
        <x:v>Minh Trí</x:v>
      </x:c>
      <x:c r="I35" s="152" t="str">
        <x:v>Passed</x:v>
      </x:c>
      <x:c r="J35" s="145" t="n">
        <x:v>46325</x:v>
      </x:c>
      <x:c r="K35" s="101" t="str">
        <x:v>Minh Trí</x:v>
      </x:c>
      <x:c r="L35" s="101"/>
      <x:c r="M35" s="145"/>
      <x:c r="N35" s="101"/>
      <x:c r="O35" s="155" t="str">
        <x:v>Round 2: đạt; có bằng chứng trong Postman log/JUnit.</x:v>
      </x:c>
    </x:row>
    <x:row r="36" ht="132" customHeight="1">
      <x:c r="A36" s="101" t="s">
        <x:v>380</x:v>
      </x:c>
      <x:c r="B36" s="37" t="s">
        <x:v>381</x:v>
      </x:c>
      <x:c r="C36" s="37" t="s">
        <x:v>382</x:v>
      </x:c>
      <x:c r="D36" s="102" t="s">
        <x:v>383</x:v>
      </x:c>
      <x:c r="E36" s="102" t="s">
        <x:v>50</x:v>
      </x:c>
      <x:c r="F36" s="101" t="str">
        <x:v>Failed</x:v>
      </x:c>
      <x:c r="G36" s="145" t="n">
        <x:v>46323</x:v>
      </x:c>
      <x:c r="H36" s="101" t="str">
        <x:v>Minh Trí</x:v>
      </x:c>
      <x:c r="I36" s="152" t="str">
        <x:v>Passed</x:v>
      </x:c>
      <x:c r="J36" s="145" t="n">
        <x:v>46325</x:v>
      </x:c>
      <x:c r="K36" s="101" t="str">
        <x:v>Minh Trí</x:v>
      </x:c>
      <x:c r="L36" s="101"/>
      <x:c r="M36" s="145"/>
      <x:c r="N36" s="101"/>
      <x:c r="O36" s="155" t="str">
        <x:v>Round 2: đạt; có bằng chứng trong Postman log/JUnit.</x:v>
      </x:c>
    </x:row>
    <x:row r="37" ht="12.75" customHeight="1">
      <x:c r="A37" s="98" t="s">
        <x:v>55</x:v>
      </x:c>
      <x:c r="B37" s="98"/>
      <x:c r="C37" s="99"/>
      <x:c r="D37" s="99"/>
      <x:c r="E37" s="99"/>
      <x:c r="F37" s="99"/>
      <x:c r="G37" s="144"/>
      <x:c r="H37" s="99"/>
      <x:c r="I37" s="151"/>
      <x:c r="J37" s="144"/>
      <x:c r="K37" s="99"/>
      <x:c r="L37" s="99"/>
      <x:c r="M37" s="144"/>
      <x:c r="N37" s="99"/>
      <x:c r="O37" s="154"/>
    </x:row>
    <x:row r="38" ht="120" customHeight="1">
      <x:c r="A38" s="101" t="s">
        <x:v>384</x:v>
      </x:c>
      <x:c r="B38" s="37" t="s">
        <x:v>385</x:v>
      </x:c>
      <x:c r="C38" s="37" t="s">
        <x:v>386</x:v>
      </x:c>
      <x:c r="D38" s="102" t="s">
        <x:v>387</x:v>
      </x:c>
      <x:c r="E38" s="102" t="s">
        <x:v>50</x:v>
      </x:c>
      <x:c r="F38" s="101" t="str">
        <x:v>Passed</x:v>
      </x:c>
      <x:c r="G38" s="145" t="n">
        <x:v>46323</x:v>
      </x:c>
      <x:c r="H38" s="101" t="str">
        <x:v>Minh Trí</x:v>
      </x:c>
      <x:c r="I38" s="152" t="str">
        <x:v>Passed</x:v>
      </x:c>
      <x:c r="J38" s="145" t="n">
        <x:v>46325</x:v>
      </x:c>
      <x:c r="K38" s="101" t="str">
        <x:v>Minh Trí</x:v>
      </x:c>
      <x:c r="L38" s="101"/>
      <x:c r="M38" s="145"/>
      <x:c r="N38" s="101"/>
      <x:c r="O38" s="155" t="str">
        <x:v>Round 2: đạt; có bằng chứng trong Postman log/JUnit.</x:v>
      </x:c>
    </x:row>
    <x:row r="39" ht="132" customHeight="1">
      <x:c r="A39" s="101" t="s">
        <x:v>388</x:v>
      </x:c>
      <x:c r="B39" s="37" t="s">
        <x:v>389</x:v>
      </x:c>
      <x:c r="C39" s="37" t="s">
        <x:v>390</x:v>
      </x:c>
      <x:c r="D39" s="102" t="s">
        <x:v>391</x:v>
      </x:c>
      <x:c r="E39" s="102" t="s">
        <x:v>50</x:v>
      </x:c>
      <x:c r="F39" s="101" t="str">
        <x:v>Failed</x:v>
      </x:c>
      <x:c r="G39" s="145" t="n">
        <x:v>46323</x:v>
      </x:c>
      <x:c r="H39" s="101" t="str">
        <x:v>Minh Trí</x:v>
      </x:c>
      <x:c r="I39" s="152" t="str">
        <x:v>Passed</x:v>
      </x:c>
      <x:c r="J39" s="145" t="n">
        <x:v>46325</x:v>
      </x:c>
      <x:c r="K39" s="101" t="str">
        <x:v>Minh Trí</x:v>
      </x:c>
      <x:c r="L39" s="101"/>
      <x:c r="M39" s="145"/>
      <x:c r="N39" s="101"/>
      <x:c r="O39" s="155" t="str">
        <x:v>Round 2: đạt; có bằng chứng trong Postman log/JUnit.</x:v>
      </x:c>
    </x:row>
    <x:row r="40" ht="132" customHeight="1">
      <x:c r="A40" s="101" t="s">
        <x:v>392</x:v>
      </x:c>
      <x:c r="B40" s="37" t="s">
        <x:v>393</x:v>
      </x:c>
      <x:c r="C40" s="37" t="s">
        <x:v>394</x:v>
      </x:c>
      <x:c r="D40" s="102" t="s">
        <x:v>395</x:v>
      </x:c>
      <x:c r="E40" s="102" t="s">
        <x:v>396</x:v>
      </x:c>
      <x:c r="F40" s="101" t="str">
        <x:v>Passed</x:v>
      </x:c>
      <x:c r="G40" s="145" t="n">
        <x:v>46323</x:v>
      </x:c>
      <x:c r="H40" s="101" t="str">
        <x:v>Minh Trí</x:v>
      </x:c>
      <x:c r="I40" s="152" t="str">
        <x:v>Passed</x:v>
      </x:c>
      <x:c r="J40" s="145" t="n">
        <x:v>46325</x:v>
      </x:c>
      <x:c r="K40" s="101" t="str">
        <x:v>Minh Trí</x:v>
      </x:c>
      <x:c r="L40" s="101"/>
      <x:c r="M40" s="145"/>
      <x:c r="N40" s="101"/>
      <x:c r="O40" s="155" t="str">
        <x:v>Round 2: đạt; có bằng chứng trong Postman log/JUnit.</x:v>
      </x:c>
    </x:row>
    <x:row r="41" ht="12.75" customHeight="1">
      <x:c r="A41" s="98" t="s">
        <x:v>57</x:v>
      </x:c>
      <x:c r="B41" s="98"/>
      <x:c r="C41" s="99"/>
      <x:c r="D41" s="99"/>
      <x:c r="E41" s="99"/>
      <x:c r="F41" s="99"/>
      <x:c r="G41" s="144"/>
      <x:c r="H41" s="99"/>
      <x:c r="I41" s="151"/>
      <x:c r="J41" s="144"/>
      <x:c r="K41" s="99"/>
      <x:c r="L41" s="99"/>
      <x:c r="M41" s="144"/>
      <x:c r="N41" s="99"/>
      <x:c r="O41" s="154"/>
      <x:c r="Q41" s="100"/>
    </x:row>
    <x:row r="42" ht="132" customHeight="1">
      <x:c r="A42" s="101" t="s">
        <x:v>397</x:v>
      </x:c>
      <x:c r="B42" s="37" t="s">
        <x:v>398</x:v>
      </x:c>
      <x:c r="C42" s="37" t="s">
        <x:v>399</x:v>
      </x:c>
      <x:c r="D42" s="102" t="s">
        <x:v>400</x:v>
      </x:c>
      <x:c r="E42" s="102" t="s">
        <x:v>50</x:v>
      </x:c>
      <x:c r="F42" s="101" t="str">
        <x:v>Passed</x:v>
      </x:c>
      <x:c r="G42" s="145" t="n">
        <x:v>46323</x:v>
      </x:c>
      <x:c r="H42" s="101" t="str">
        <x:v>Minh Trí</x:v>
      </x:c>
      <x:c r="I42" s="152" t="str">
        <x:v>Passed</x:v>
      </x:c>
      <x:c r="J42" s="145" t="n">
        <x:v>46325</x:v>
      </x:c>
      <x:c r="K42" s="101" t="str">
        <x:v>Minh Trí</x:v>
      </x:c>
      <x:c r="L42" s="101"/>
      <x:c r="M42" s="145"/>
      <x:c r="N42" s="101"/>
      <x:c r="O42" s="155" t="str">
        <x:v>Round 2: đạt; có bằng chứng trong Postman log/JUnit.</x:v>
      </x:c>
      <x:c r="Q42" s="103"/>
    </x:row>
    <x:row r="43" ht="144" customHeight="1">
      <x:c r="A43" s="101" t="s">
        <x:v>401</x:v>
      </x:c>
      <x:c r="B43" s="37" t="s">
        <x:v>402</x:v>
      </x:c>
      <x:c r="C43" s="37" t="s">
        <x:v>403</x:v>
      </x:c>
      <x:c r="D43" s="102" t="s">
        <x:v>404</x:v>
      </x:c>
      <x:c r="E43" s="102" t="s">
        <x:v>405</x:v>
      </x:c>
      <x:c r="F43" s="101" t="str">
        <x:v>Passed</x:v>
      </x:c>
      <x:c r="G43" s="145" t="n">
        <x:v>46323</x:v>
      </x:c>
      <x:c r="H43" s="101" t="str">
        <x:v>Minh Trí</x:v>
      </x:c>
      <x:c r="I43" s="152" t="str">
        <x:v>Failed</x:v>
      </x:c>
      <x:c r="J43" s="145" t="n">
        <x:v>46325</x:v>
      </x:c>
      <x:c r="K43" s="101" t="str">
        <x:v>Minh Trí</x:v>
      </x:c>
      <x:c r="L43" s="101"/>
      <x:c r="M43" s="145"/>
      <x:c r="N43" s="101"/>
      <x:c r="O43" s="155" t="str">
        <x:v>Round 2: chưa đạt; xem collection log tương ứng trong outputs/pbl6-round2/logs.</x:v>
      </x:c>
      <x:c r="Q43" s="103"/>
    </x:row>
    <x:row r="44" ht="144" customHeight="1">
      <x:c r="A44" s="101" t="s">
        <x:v>406</x:v>
      </x:c>
      <x:c r="B44" s="37" t="s">
        <x:v>407</x:v>
      </x:c>
      <x:c r="C44" s="37" t="s">
        <x:v>408</x:v>
      </x:c>
      <x:c r="D44" s="102" t="s">
        <x:v>409</x:v>
      </x:c>
      <x:c r="E44" s="102" t="s">
        <x:v>410</x:v>
      </x:c>
      <x:c r="F44" s="101" t="str">
        <x:v>Passed</x:v>
      </x:c>
      <x:c r="G44" s="145" t="n">
        <x:v>46323</x:v>
      </x:c>
      <x:c r="H44" s="101" t="str">
        <x:v>Minh Trí</x:v>
      </x:c>
      <x:c r="I44" s="152" t="str">
        <x:v>Passed</x:v>
      </x:c>
      <x:c r="J44" s="145" t="n">
        <x:v>46325</x:v>
      </x:c>
      <x:c r="K44" s="101" t="str">
        <x:v>Minh Trí</x:v>
      </x:c>
      <x:c r="L44" s="101"/>
      <x:c r="M44" s="145"/>
      <x:c r="N44" s="101"/>
      <x:c r="O44" s="155" t="str">
        <x:v>Round 2: đạt; có bằng chứng trong Postman log/JUnit.</x:v>
      </x:c>
      <x:c r="Q44" s="103"/>
    </x:row>
    <x:row r="45" ht="144" customHeight="1">
      <x:c r="A45" s="101" t="s">
        <x:v>411</x:v>
      </x:c>
      <x:c r="B45" s="37" t="s">
        <x:v>412</x:v>
      </x:c>
      <x:c r="C45" s="37" t="s">
        <x:v>413</x:v>
      </x:c>
      <x:c r="D45" s="102" t="s">
        <x:v>414</x:v>
      </x:c>
      <x:c r="E45" s="102" t="s">
        <x:v>415</x:v>
      </x:c>
      <x:c r="F45" s="101" t="str">
        <x:v>Failed</x:v>
      </x:c>
      <x:c r="G45" s="145" t="n">
        <x:v>46323</x:v>
      </x:c>
      <x:c r="H45" s="101" t="str">
        <x:v>Minh Trí</x:v>
      </x:c>
      <x:c r="I45" s="152" t="str">
        <x:v>Passed</x:v>
      </x:c>
      <x:c r="J45" s="145" t="n">
        <x:v>46325</x:v>
      </x:c>
      <x:c r="K45" s="101" t="str">
        <x:v>Minh Trí</x:v>
      </x:c>
      <x:c r="L45" s="101"/>
      <x:c r="M45" s="145"/>
      <x:c r="N45" s="101"/>
      <x:c r="O45" s="155" t="str">
        <x:v>Round 2: đạt; có bằng chứng trong Postman log/JUnit.</x:v>
      </x:c>
      <x:c r="Q45" s="100"/>
    </x:row>
    <x:row r="46" ht="132" customHeight="1">
      <x:c r="A46" s="101" t="s">
        <x:v>416</x:v>
      </x:c>
      <x:c r="B46" s="37" t="s">
        <x:v>417</x:v>
      </x:c>
      <x:c r="C46" s="37" t="s">
        <x:v>418</x:v>
      </x:c>
      <x:c r="D46" s="102" t="s">
        <x:v>419</x:v>
      </x:c>
      <x:c r="E46" s="102" t="s">
        <x:v>420</x:v>
      </x:c>
      <x:c r="F46" s="101" t="str">
        <x:v>Failed</x:v>
      </x:c>
      <x:c r="G46" s="145" t="n">
        <x:v>46323</x:v>
      </x:c>
      <x:c r="H46" s="101" t="str">
        <x:v>Minh Trí</x:v>
      </x:c>
      <x:c r="I46" s="152" t="str">
        <x:v>Failed</x:v>
      </x:c>
      <x:c r="J46" s="145" t="n">
        <x:v>46325</x:v>
      </x:c>
      <x:c r="K46" s="101" t="str">
        <x:v>Minh Trí</x:v>
      </x:c>
      <x:c r="L46" s="101"/>
      <x:c r="M46" s="145"/>
      <x:c r="N46" s="101"/>
      <x:c r="O46" s="155" t="str">
        <x:v>Round 2: chưa đạt; xem collection log tương ứng trong outputs/pbl6-round2/logs.</x:v>
      </x:c>
      <x:c r="Q46" s="103"/>
    </x:row>
    <x:row r="47" ht="192" customHeight="1">
      <x:c r="A47" s="101" t="s">
        <x:v>421</x:v>
      </x:c>
      <x:c r="B47" s="37" t="s">
        <x:v>422</x:v>
      </x:c>
      <x:c r="C47" s="37" t="s">
        <x:v>423</x:v>
      </x:c>
      <x:c r="D47" s="102" t="s">
        <x:v>424</x:v>
      </x:c>
      <x:c r="E47" s="102" t="s">
        <x:v>425</x:v>
      </x:c>
      <x:c r="F47" s="101" t="str">
        <x:v>Passed</x:v>
      </x:c>
      <x:c r="G47" s="145" t="n">
        <x:v>46323</x:v>
      </x:c>
      <x:c r="H47" s="101" t="str">
        <x:v>Minh Trí</x:v>
      </x:c>
      <x:c r="I47" s="152" t="str">
        <x:v>Pending</x:v>
      </x:c>
      <x:c r="J47" s="145"/>
      <x:c r="K47" s="101"/>
      <x:c r="L47" s="101"/>
      <x:c r="M47" s="145"/>
      <x:c r="N47" s="101"/>
      <x:c r="O47" s="155" t="str">
        <x:v>Chưa có assertion Round 2 ánh xạ trực tiếp tới test case này.</x:v>
      </x:c>
    </x:row>
    <x:row r="48" ht="12.75" customHeight="1">
      <x:c r="A48" s="98" t="s">
        <x:v>60</x:v>
      </x:c>
      <x:c r="B48" s="98"/>
      <x:c r="C48" s="99"/>
      <x:c r="D48" s="99"/>
      <x:c r="E48" s="99"/>
      <x:c r="F48" s="99"/>
      <x:c r="G48" s="144"/>
      <x:c r="H48" s="99"/>
      <x:c r="I48" s="151"/>
      <x:c r="J48" s="144"/>
      <x:c r="K48" s="99"/>
      <x:c r="L48" s="99"/>
      <x:c r="M48" s="144"/>
      <x:c r="N48" s="99"/>
      <x:c r="O48" s="154"/>
      <x:c r="Q48" s="100"/>
    </x:row>
    <x:row r="49" ht="144" customHeight="1">
      <x:c r="A49" s="101" t="s">
        <x:v>426</x:v>
      </x:c>
      <x:c r="B49" s="37" t="s">
        <x:v>427</x:v>
      </x:c>
      <x:c r="C49" s="37" t="s">
        <x:v>428</x:v>
      </x:c>
      <x:c r="D49" s="102" t="s">
        <x:v>429</x:v>
      </x:c>
      <x:c r="E49" s="102" t="s">
        <x:v>62</x:v>
      </x:c>
      <x:c r="F49" s="101" t="str">
        <x:v>Failed</x:v>
      </x:c>
      <x:c r="G49" s="145" t="n">
        <x:v>46323</x:v>
      </x:c>
      <x:c r="H49" s="101" t="str">
        <x:v>Minh Trí</x:v>
      </x:c>
      <x:c r="I49" s="152" t="str">
        <x:v>Passed</x:v>
      </x:c>
      <x:c r="J49" s="145" t="n">
        <x:v>46325</x:v>
      </x:c>
      <x:c r="K49" s="101" t="str">
        <x:v>Minh Trí</x:v>
      </x:c>
      <x:c r="L49" s="101"/>
      <x:c r="M49" s="145"/>
      <x:c r="N49" s="101"/>
      <x:c r="O49" s="155" t="str">
        <x:v>Round 2: đạt; có bằng chứng trong Postman log/JUnit.</x:v>
      </x:c>
      <x:c r="Q49" s="103"/>
    </x:row>
    <x:row r="50" ht="132" customHeight="1">
      <x:c r="A50" s="101" t="s">
        <x:v>430</x:v>
      </x:c>
      <x:c r="B50" s="37" t="s">
        <x:v>431</x:v>
      </x:c>
      <x:c r="C50" s="37" t="s">
        <x:v>432</x:v>
      </x:c>
      <x:c r="D50" s="102" t="s">
        <x:v>433</x:v>
      </x:c>
      <x:c r="E50" s="102" t="s">
        <x:v>62</x:v>
      </x:c>
      <x:c r="F50" s="101" t="str">
        <x:v>Passed</x:v>
      </x:c>
      <x:c r="G50" s="145" t="n">
        <x:v>46323</x:v>
      </x:c>
      <x:c r="H50" s="101" t="str">
        <x:v>Minh Trí</x:v>
      </x:c>
      <x:c r="I50" s="152" t="str">
        <x:v>Passed</x:v>
      </x:c>
      <x:c r="J50" s="145" t="n">
        <x:v>46325</x:v>
      </x:c>
      <x:c r="K50" s="101" t="str">
        <x:v>Minh Trí</x:v>
      </x:c>
      <x:c r="L50" s="101"/>
      <x:c r="M50" s="145"/>
      <x:c r="N50" s="101"/>
      <x:c r="O50" s="155" t="str">
        <x:v>Round 2: đạt; có bằng chứng trong Postman log/JUnit.</x:v>
      </x:c>
    </x:row>
    <x:row r="51" ht="72" customHeight="1">
      <x:c r="A51" s="101" t="s">
        <x:v>434</x:v>
      </x:c>
      <x:c r="B51" s="37" t="s">
        <x:v>435</x:v>
      </x:c>
      <x:c r="C51" s="37" t="s">
        <x:v>436</x:v>
      </x:c>
      <x:c r="D51" s="102" t="s">
        <x:v>437</x:v>
      </x:c>
      <x:c r="E51" s="102" t="s">
        <x:v>438</x:v>
      </x:c>
      <x:c r="F51" s="101" t="str">
        <x:v>Failed</x:v>
      </x:c>
      <x:c r="G51" s="145" t="n">
        <x:v>46323</x:v>
      </x:c>
      <x:c r="H51" s="101" t="str">
        <x:v>Minh Trí</x:v>
      </x:c>
      <x:c r="I51" s="152" t="str">
        <x:v>Pending</x:v>
      </x:c>
      <x:c r="J51" s="145"/>
      <x:c r="K51" s="101"/>
      <x:c r="L51" s="101"/>
      <x:c r="M51" s="145"/>
      <x:c r="N51" s="101"/>
      <x:c r="O51" s="155" t="str">
        <x:v>Chưa có assertion Round 2 ánh xạ trực tiếp tới test case này.</x:v>
      </x:c>
    </x:row>
    <x:row r="52" ht="168" customHeight="1">
      <x:c r="A52" s="101" t="s">
        <x:v>439</x:v>
      </x:c>
      <x:c r="B52" s="37" t="s">
        <x:v>440</x:v>
      </x:c>
      <x:c r="C52" s="37" t="s">
        <x:v>441</x:v>
      </x:c>
      <x:c r="D52" s="102" t="s">
        <x:v>442</x:v>
      </x:c>
      <x:c r="E52" s="102" t="s">
        <x:v>443</x:v>
      </x:c>
      <x:c r="F52" s="101" t="str">
        <x:v>Passed</x:v>
      </x:c>
      <x:c r="G52" s="145" t="n">
        <x:v>46323</x:v>
      </x:c>
      <x:c r="H52" s="101" t="str">
        <x:v>Minh Trí</x:v>
      </x:c>
      <x:c r="I52" s="152" t="str">
        <x:v>Failed</x:v>
      </x:c>
      <x:c r="J52" s="145" t="n">
        <x:v>46325</x:v>
      </x:c>
      <x:c r="K52" s="101" t="str">
        <x:v>Minh Trí</x:v>
      </x:c>
      <x:c r="L52" s="101"/>
      <x:c r="M52" s="145"/>
      <x:c r="N52" s="101"/>
      <x:c r="O52" s="155" t="str">
        <x:v>Round 2: chưa đạt; xem collection log tương ứng trong outputs/pbl6-round2/logs.</x:v>
      </x:c>
    </x:row>
    <x:row r="53" ht="84" customHeight="1">
      <x:c r="A53" s="101" t="s">
        <x:v>444</x:v>
      </x:c>
      <x:c r="B53" s="37" t="s">
        <x:v>445</x:v>
      </x:c>
      <x:c r="C53" s="37" t="s">
        <x:v>446</x:v>
      </x:c>
      <x:c r="D53" s="102" t="s">
        <x:v>447</x:v>
      </x:c>
      <x:c r="E53" s="102" t="s">
        <x:v>62</x:v>
      </x:c>
      <x:c r="F53" s="101" t="str">
        <x:v>Passed</x:v>
      </x:c>
      <x:c r="G53" s="145" t="n">
        <x:v>46323</x:v>
      </x:c>
      <x:c r="H53" s="101" t="str">
        <x:v>Minh Trí</x:v>
      </x:c>
      <x:c r="I53" s="152" t="str">
        <x:v>Passed</x:v>
      </x:c>
      <x:c r="J53" s="145" t="n">
        <x:v>46325</x:v>
      </x:c>
      <x:c r="K53" s="101" t="str">
        <x:v>Minh Trí</x:v>
      </x:c>
      <x:c r="L53" s="101"/>
      <x:c r="M53" s="145"/>
      <x:c r="N53" s="101"/>
      <x:c r="O53" s="155" t="str">
        <x:v>Round 2: đạt; có bằng chứng trong Postman log/JUnit.</x:v>
      </x:c>
    </x:row>
    <x:row r="54" ht="12.75" customHeight="1">
      <x:c r="A54" s="98" t="s">
        <x:v>63</x:v>
      </x:c>
      <x:c r="B54" s="98"/>
      <x:c r="C54" s="99"/>
      <x:c r="D54" s="99"/>
      <x:c r="E54" s="99"/>
      <x:c r="F54" s="99"/>
      <x:c r="G54" s="144"/>
      <x:c r="H54" s="99"/>
      <x:c r="I54" s="151"/>
      <x:c r="J54" s="144"/>
      <x:c r="K54" s="99"/>
      <x:c r="L54" s="99"/>
      <x:c r="M54" s="144"/>
      <x:c r="N54" s="99"/>
      <x:c r="O54" s="154"/>
    </x:row>
    <x:row r="55" ht="204" customHeight="1">
      <x:c r="A55" s="101" t="s">
        <x:v>448</x:v>
      </x:c>
      <x:c r="B55" s="37" t="s">
        <x:v>449</x:v>
      </x:c>
      <x:c r="C55" s="37" t="s">
        <x:v>450</x:v>
      </x:c>
      <x:c r="D55" s="102" t="s">
        <x:v>451</x:v>
      </x:c>
      <x:c r="E55" s="102" t="s">
        <x:v>65</x:v>
      </x:c>
      <x:c r="F55" s="101" t="str">
        <x:v>Passed</x:v>
      </x:c>
      <x:c r="G55" s="145" t="n">
        <x:v>46323</x:v>
      </x:c>
      <x:c r="H55" s="101" t="str">
        <x:v>Minh Trí</x:v>
      </x:c>
      <x:c r="I55" s="152" t="str">
        <x:v>Failed</x:v>
      </x:c>
      <x:c r="J55" s="145" t="n">
        <x:v>46325</x:v>
      </x:c>
      <x:c r="K55" s="101" t="str">
        <x:v>Minh Trí</x:v>
      </x:c>
      <x:c r="L55" s="101"/>
      <x:c r="M55" s="145"/>
      <x:c r="N55" s="101"/>
      <x:c r="O55" s="155" t="str">
        <x:v>Round 2: chưa đạt; xem collection log tương ứng trong outputs/pbl6-round2/logs.</x:v>
      </x:c>
    </x:row>
    <x:row r="56" ht="144" customHeight="1">
      <x:c r="A56" s="101" t="s">
        <x:v>452</x:v>
      </x:c>
      <x:c r="B56" s="37" t="s">
        <x:v>453</x:v>
      </x:c>
      <x:c r="C56" s="37" t="s">
        <x:v>454</x:v>
      </x:c>
      <x:c r="D56" s="102" t="s">
        <x:v>455</x:v>
      </x:c>
      <x:c r="E56" s="102" t="s">
        <x:v>456</x:v>
      </x:c>
      <x:c r="F56" s="101" t="str">
        <x:v>Passed</x:v>
      </x:c>
      <x:c r="G56" s="145" t="n">
        <x:v>46323</x:v>
      </x:c>
      <x:c r="H56" s="101" t="str">
        <x:v>Minh Trí</x:v>
      </x:c>
      <x:c r="I56" s="152" t="str">
        <x:v>Passed</x:v>
      </x:c>
      <x:c r="J56" s="145" t="n">
        <x:v>46325</x:v>
      </x:c>
      <x:c r="K56" s="101" t="str">
        <x:v>Minh Trí</x:v>
      </x:c>
      <x:c r="L56" s="101"/>
      <x:c r="M56" s="145"/>
      <x:c r="N56" s="101"/>
      <x:c r="O56" s="155" t="str">
        <x:v>Round 2: đạt; có bằng chứng trong Postman log/JUnit.</x:v>
      </x:c>
    </x:row>
    <x:row r="57" ht="144" customHeight="1">
      <x:c r="A57" s="101" t="s">
        <x:v>457</x:v>
      </x:c>
      <x:c r="B57" s="37" t="s">
        <x:v>458</x:v>
      </x:c>
      <x:c r="C57" s="37" t="s">
        <x:v>459</x:v>
      </x:c>
      <x:c r="D57" s="102" t="s">
        <x:v>460</x:v>
      </x:c>
      <x:c r="E57" s="102" t="s">
        <x:v>461</x:v>
      </x:c>
      <x:c r="F57" s="101" t="str">
        <x:v>Failed</x:v>
      </x:c>
      <x:c r="G57" s="145" t="n">
        <x:v>46323</x:v>
      </x:c>
      <x:c r="H57" s="101" t="str">
        <x:v>Minh Trí</x:v>
      </x:c>
      <x:c r="I57" s="152" t="str">
        <x:v>Passed</x:v>
      </x:c>
      <x:c r="J57" s="145" t="n">
        <x:v>46325</x:v>
      </x:c>
      <x:c r="K57" s="101" t="str">
        <x:v>Minh Trí</x:v>
      </x:c>
      <x:c r="L57" s="101"/>
      <x:c r="M57" s="145"/>
      <x:c r="N57" s="101"/>
      <x:c r="O57" s="155" t="str">
        <x:v>Round 2: đạt; có bằng chứng trong Postman log/JUnit.</x:v>
      </x:c>
    </x:row>
    <x:row r="58" ht="13.149999618530273" customHeight="1">
      <x:c r="G58" s="138"/>
      <x:c r="H58"/>
      <x:c r="I58" s="153"/>
      <x:c r="J58" s="146"/>
      <x:c r="K58"/>
      <x:c r="L58"/>
      <x:c r="M58" s="146"/>
      <x:c r="N58"/>
      <x:c r="O58" s="156"/>
    </x:row>
    <x:row r="59" ht="13.149999618530273" customHeight="1">
      <x:c r="G59" s="138"/>
      <x:c r="H59"/>
      <x:c r="I59" s="153"/>
      <x:c r="J59" s="146"/>
      <x:c r="K59"/>
      <x:c r="L59"/>
      <x:c r="M59" s="146"/>
      <x:c r="N59"/>
      <x:c r="O59" s="156"/>
    </x:row>
    <x:row r="60" ht="13.149999618530273" customHeight="1">
      <x:c r="G60" s="138"/>
      <x:c r="H60"/>
      <x:c r="I60" s="153"/>
      <x:c r="J60" s="146"/>
      <x:c r="K60"/>
      <x:c r="L60"/>
      <x:c r="M60" s="146"/>
      <x:c r="N60"/>
      <x:c r="O60" s="156"/>
    </x:row>
    <x:row r="61" ht="13.149999618530273" customHeight="1">
      <x:c r="G61" s="138"/>
      <x:c r="H61"/>
      <x:c r="I61" s="153"/>
      <x:c r="J61" s="146"/>
      <x:c r="K61"/>
      <x:c r="L61"/>
      <x:c r="M61" s="146"/>
      <x:c r="N61"/>
      <x:c r="O61" s="156"/>
    </x:row>
    <x:row r="62" ht="13.149999618530273" customHeight="1">
      <x:c r="G62" s="138"/>
      <x:c r="H62"/>
      <x:c r="I62" s="153"/>
      <x:c r="J62" s="146"/>
      <x:c r="K62"/>
      <x:c r="L62"/>
      <x:c r="M62" s="146"/>
      <x:c r="N62"/>
      <x:c r="O62" s="156"/>
    </x:row>
    <x:row r="63" ht="13.149999618530273" customHeight="1">
      <x:c r="G63" s="138"/>
      <x:c r="H63"/>
      <x:c r="I63" s="153"/>
      <x:c r="J63" s="146"/>
      <x:c r="K63"/>
      <x:c r="L63"/>
      <x:c r="M63" s="146"/>
      <x:c r="N63"/>
      <x:c r="O63" s="156"/>
    </x:row>
    <x:row r="64" ht="13.149999618530273" customHeight="1">
      <x:c r="G64" s="138"/>
      <x:c r="H64"/>
      <x:c r="I64" s="153"/>
      <x:c r="J64" s="146"/>
      <x:c r="K64"/>
      <x:c r="L64"/>
      <x:c r="M64" s="146"/>
      <x:c r="N64"/>
      <x:c r="O64" s="156"/>
    </x:row>
    <x:row r="65" ht="13.149999618530273" customHeight="1">
      <x:c r="G65" s="138"/>
      <x:c r="H65"/>
      <x:c r="I65" s="153"/>
      <x:c r="J65" s="146"/>
      <x:c r="K65"/>
      <x:c r="L65"/>
      <x:c r="M65" s="146"/>
      <x:c r="N65"/>
      <x:c r="O65" s="156"/>
    </x:row>
    <x:row r="66" ht="13.149999618530273" customHeight="1">
      <x:c r="G66" s="138"/>
      <x:c r="H66"/>
      <x:c r="I66" s="153"/>
      <x:c r="J66" s="146"/>
      <x:c r="K66"/>
      <x:c r="L66"/>
      <x:c r="M66" s="146"/>
      <x:c r="N66"/>
      <x:c r="O66" s="156"/>
    </x:row>
    <x:row r="67" ht="13.149999618530273" customHeight="1">
      <x:c r="G67" s="138"/>
      <x:c r="H67"/>
      <x:c r="I67" s="153"/>
      <x:c r="J67" s="146"/>
      <x:c r="K67"/>
      <x:c r="L67"/>
      <x:c r="M67" s="146"/>
      <x:c r="N67"/>
      <x:c r="O67" s="156"/>
    </x:row>
    <x:row r="68" ht="13.149999618530273" customHeight="1">
      <x:c r="G68" s="138"/>
      <x:c r="H68"/>
      <x:c r="I68" s="153"/>
      <x:c r="J68" s="146"/>
      <x:c r="K68"/>
      <x:c r="L68"/>
      <x:c r="M68" s="146"/>
      <x:c r="N68"/>
      <x:c r="O68" s="156"/>
    </x:row>
    <x:row r="69" ht="13.149999618530273" customHeight="1">
      <x:c r="G69" s="138"/>
      <x:c r="H69"/>
      <x:c r="I69" s="153"/>
      <x:c r="J69" s="146"/>
      <x:c r="K69"/>
      <x:c r="L69"/>
      <x:c r="M69" s="146"/>
      <x:c r="N69"/>
      <x:c r="O69" s="156"/>
    </x:row>
    <x:row r="70" ht="13.149999618530273" customHeight="1">
      <x:c r="G70" s="138"/>
      <x:c r="H70"/>
      <x:c r="I70" s="153"/>
      <x:c r="J70" s="146"/>
      <x:c r="K70"/>
      <x:c r="L70"/>
      <x:c r="M70" s="146"/>
      <x:c r="N70"/>
      <x:c r="O70" s="156"/>
    </x:row>
    <x:row r="71" ht="13.149999618530273" customHeight="1">
      <x:c r="G71" s="138"/>
      <x:c r="H71"/>
      <x:c r="I71" s="153"/>
      <x:c r="J71" s="146"/>
      <x:c r="K71"/>
      <x:c r="L71"/>
      <x:c r="M71" s="146"/>
      <x:c r="N71"/>
      <x:c r="O71" s="156"/>
    </x:row>
    <x:row r="72" ht="13.149999618530273" customHeight="1">
      <x:c r="G72" s="138"/>
      <x:c r="H72"/>
      <x:c r="I72" s="153"/>
      <x:c r="J72" s="146"/>
      <x:c r="K72"/>
      <x:c r="L72"/>
      <x:c r="M72" s="146"/>
      <x:c r="N72"/>
      <x:c r="O72" s="156"/>
    </x:row>
    <x:row r="73" ht="13.149999618530273" customHeight="1">
      <x:c r="G73" s="138"/>
      <x:c r="H73"/>
      <x:c r="I73" s="153"/>
      <x:c r="J73" s="146"/>
      <x:c r="K73"/>
      <x:c r="L73"/>
      <x:c r="M73" s="146"/>
      <x:c r="N73"/>
      <x:c r="O73" s="156"/>
    </x:row>
    <x:row r="74" ht="13.149999618530273" customHeight="1">
      <x:c r="G74" s="138"/>
      <x:c r="H74"/>
      <x:c r="I74" s="153"/>
      <x:c r="J74" s="146"/>
      <x:c r="K74"/>
      <x:c r="L74"/>
      <x:c r="M74" s="146"/>
      <x:c r="N74"/>
      <x:c r="O74" s="156"/>
    </x:row>
    <x:row r="75" ht="13.149999618530273" customHeight="1">
      <x:c r="G75" s="138"/>
      <x:c r="H75"/>
      <x:c r="I75" s="153"/>
      <x:c r="J75" s="146"/>
      <x:c r="K75"/>
      <x:c r="L75"/>
      <x:c r="M75" s="146"/>
      <x:c r="N75"/>
      <x:c r="O75" s="156"/>
    </x:row>
    <x:row r="76" ht="13.149999618530273" customHeight="1">
      <x:c r="G76" s="138"/>
      <x:c r="H76"/>
      <x:c r="I76" s="153"/>
      <x:c r="J76" s="146"/>
      <x:c r="K76"/>
      <x:c r="L76"/>
      <x:c r="M76" s="146"/>
      <x:c r="N76"/>
      <x:c r="O76" s="156"/>
    </x:row>
    <x:row r="77" ht="13.149999618530273" customHeight="1">
      <x:c r="G77" s="138"/>
      <x:c r="H77"/>
      <x:c r="I77" s="153"/>
      <x:c r="J77" s="146"/>
      <x:c r="K77"/>
      <x:c r="L77"/>
      <x:c r="M77" s="146"/>
      <x:c r="N77"/>
      <x:c r="O77" s="156"/>
    </x:row>
    <x:row r="78" ht="13.149999618530273" customHeight="1">
      <x:c r="G78" s="138"/>
      <x:c r="H78"/>
      <x:c r="I78" s="153"/>
      <x:c r="J78" s="146"/>
      <x:c r="K78"/>
      <x:c r="L78"/>
      <x:c r="M78" s="146"/>
      <x:c r="N78"/>
      <x:c r="O78" s="156"/>
    </x:row>
    <x:row r="79" ht="13.149999618530273" customHeight="1">
      <x:c r="G79" s="138"/>
      <x:c r="H79"/>
      <x:c r="I79" s="153"/>
      <x:c r="J79" s="146"/>
      <x:c r="K79"/>
      <x:c r="L79"/>
      <x:c r="M79" s="146"/>
      <x:c r="N79"/>
      <x:c r="O79" s="156"/>
    </x:row>
    <x:row r="80" ht="13.149999618530273" customHeight="1">
      <x:c r="G80" s="138"/>
      <x:c r="H80"/>
      <x:c r="I80" s="153"/>
      <x:c r="J80" s="146"/>
      <x:c r="K80"/>
      <x:c r="L80"/>
      <x:c r="M80" s="146"/>
      <x:c r="N80"/>
      <x:c r="O80" s="156"/>
    </x:row>
    <x:row r="81" ht="13.149999618530273" customHeight="1">
      <x:c r="G81" s="138"/>
      <x:c r="H81"/>
      <x:c r="I81" s="153"/>
      <x:c r="J81" s="146"/>
      <x:c r="K81"/>
      <x:c r="L81"/>
      <x:c r="M81" s="146"/>
      <x:c r="N81"/>
      <x:c r="O81" s="156"/>
    </x:row>
    <x:row r="82" ht="13.149999618530273" customHeight="1">
      <x:c r="G82" s="138"/>
      <x:c r="H82"/>
      <x:c r="I82" s="153"/>
      <x:c r="J82" s="146"/>
      <x:c r="K82"/>
      <x:c r="L82"/>
      <x:c r="M82" s="146"/>
      <x:c r="N82"/>
      <x:c r="O82" s="156"/>
    </x:row>
    <x:row r="83" ht="13.149999618530273" customHeight="1">
      <x:c r="G83" s="138"/>
      <x:c r="H83"/>
      <x:c r="I83" s="153"/>
      <x:c r="J83" s="146"/>
      <x:c r="K83"/>
      <x:c r="L83"/>
      <x:c r="M83" s="146"/>
      <x:c r="N83"/>
      <x:c r="O83" s="156"/>
    </x:row>
    <x:row r="84" ht="13.149999618530273" customHeight="1">
      <x:c r="G84" s="138"/>
      <x:c r="H84"/>
      <x:c r="I84" s="153"/>
      <x:c r="J84" s="146"/>
      <x:c r="K84"/>
      <x:c r="L84"/>
      <x:c r="M84" s="146"/>
      <x:c r="N84"/>
      <x:c r="O84" s="156"/>
    </x:row>
    <x:row r="85" ht="13.149999618530273" customHeight="1">
      <x:c r="G85" s="138"/>
      <x:c r="H85"/>
      <x:c r="I85" s="153"/>
      <x:c r="J85" s="146"/>
      <x:c r="K85"/>
      <x:c r="L85"/>
      <x:c r="M85" s="146"/>
      <x:c r="N85"/>
      <x:c r="O85" s="156"/>
    </x:row>
    <x:row r="86" ht="13.149999618530273" customHeight="1">
      <x:c r="G86" s="138"/>
      <x:c r="H86"/>
      <x:c r="I86" s="153"/>
      <x:c r="J86" s="146"/>
      <x:c r="K86"/>
      <x:c r="L86"/>
      <x:c r="M86" s="146"/>
      <x:c r="N86"/>
      <x:c r="O86" s="156"/>
    </x:row>
    <x:row r="87" ht="13.149999618530273" customHeight="1">
      <x:c r="G87" s="138"/>
      <x:c r="H87"/>
      <x:c r="I87" s="153"/>
      <x:c r="J87" s="146"/>
      <x:c r="K87"/>
      <x:c r="L87"/>
      <x:c r="M87" s="146"/>
      <x:c r="N87"/>
      <x:c r="O87" s="156"/>
    </x:row>
    <x:row r="88" ht="13.149999618530273" customHeight="1">
      <x:c r="G88" s="138"/>
      <x:c r="H88"/>
      <x:c r="I88" s="153"/>
      <x:c r="J88" s="146"/>
      <x:c r="K88"/>
      <x:c r="L88"/>
      <x:c r="M88" s="146"/>
      <x:c r="N88"/>
      <x:c r="O88" s="156"/>
    </x:row>
    <x:row r="89" ht="13.149999618530273" customHeight="1">
      <x:c r="G89" s="138"/>
      <x:c r="H89"/>
      <x:c r="I89" s="153"/>
      <x:c r="J89" s="146"/>
      <x:c r="K89"/>
      <x:c r="L89"/>
      <x:c r="M89" s="146"/>
      <x:c r="N89"/>
      <x:c r="O89" s="156"/>
    </x:row>
    <x:row r="90" ht="13.149999618530273" customHeight="1">
      <x:c r="G90" s="138"/>
      <x:c r="H90"/>
      <x:c r="I90" s="153"/>
      <x:c r="J90" s="146"/>
      <x:c r="K90"/>
      <x:c r="L90"/>
      <x:c r="M90" s="146"/>
      <x:c r="N90"/>
      <x:c r="O90" s="156"/>
    </x:row>
    <x:row r="91" ht="13.149999618530273" customHeight="1">
      <x:c r="G91" s="138"/>
      <x:c r="H91"/>
      <x:c r="I91" s="153"/>
      <x:c r="J91" s="146"/>
      <x:c r="K91"/>
      <x:c r="L91"/>
      <x:c r="M91" s="146"/>
      <x:c r="N91"/>
      <x:c r="O91" s="156"/>
    </x:row>
    <x:row r="92" ht="13.149999618530273" customHeight="1">
      <x:c r="G92" s="138"/>
      <x:c r="H92"/>
      <x:c r="I92" s="153"/>
      <x:c r="J92" s="146"/>
      <x:c r="K92"/>
      <x:c r="L92"/>
      <x:c r="M92" s="146"/>
      <x:c r="N92"/>
      <x:c r="O92" s="156"/>
    </x:row>
    <x:row r="93" ht="13.149999618530273" customHeight="1">
      <x:c r="G93" s="138"/>
      <x:c r="H93"/>
      <x:c r="I93" s="153"/>
      <x:c r="J93" s="146"/>
      <x:c r="K93"/>
      <x:c r="L93"/>
      <x:c r="M93" s="146"/>
      <x:c r="N93"/>
      <x:c r="O93" s="156"/>
    </x:row>
    <x:row r="94" ht="13.149999618530273" customHeight="1">
      <x:c r="G94" s="138"/>
      <x:c r="H94"/>
      <x:c r="I94" s="153"/>
      <x:c r="J94" s="146"/>
      <x:c r="K94"/>
      <x:c r="L94"/>
      <x:c r="M94" s="146"/>
      <x:c r="N94"/>
      <x:c r="O94" s="156"/>
    </x:row>
    <x:row r="95" ht="13.149999618530273" customHeight="1">
      <x:c r="G95" s="138"/>
      <x:c r="H95"/>
      <x:c r="I95" s="153"/>
      <x:c r="J95" s="146"/>
      <x:c r="K95"/>
      <x:c r="L95"/>
      <x:c r="M95" s="146"/>
      <x:c r="N95"/>
      <x:c r="O95" s="156"/>
    </x:row>
    <x:row r="96" ht="13.149999618530273" customHeight="1">
      <x:c r="G96" s="138"/>
      <x:c r="H96"/>
      <x:c r="I96" s="153"/>
      <x:c r="J96" s="146"/>
      <x:c r="K96"/>
      <x:c r="L96"/>
      <x:c r="M96" s="146"/>
      <x:c r="N96"/>
      <x:c r="O96" s="156"/>
    </x:row>
    <x:row r="97" ht="13.149999618530273" customHeight="1">
      <x:c r="G97" s="138"/>
      <x:c r="H97"/>
      <x:c r="I97" s="153"/>
      <x:c r="J97" s="146"/>
      <x:c r="K97"/>
      <x:c r="L97"/>
      <x:c r="M97" s="146"/>
      <x:c r="N97"/>
      <x:c r="O97" s="156"/>
    </x:row>
    <x:row r="98" ht="13.149999618530273" customHeight="1">
      <x:c r="G98" s="138"/>
      <x:c r="H98"/>
      <x:c r="I98" s="153"/>
      <x:c r="J98" s="146"/>
      <x:c r="K98"/>
      <x:c r="L98"/>
      <x:c r="M98" s="146"/>
      <x:c r="N98"/>
      <x:c r="O98" s="156"/>
    </x:row>
    <x:row r="99" ht="13.149999618530273" customHeight="1">
      <x:c r="G99" s="138"/>
      <x:c r="H99"/>
      <x:c r="I99" s="153"/>
      <x:c r="J99" s="146"/>
      <x:c r="K99"/>
      <x:c r="L99"/>
      <x:c r="M99" s="146"/>
      <x:c r="N99"/>
      <x:c r="O99" s="156"/>
    </x:row>
    <x:row r="100" ht="13.149999618530273" customHeight="1">
      <x:c r="G100" s="138"/>
      <x:c r="H100"/>
      <x:c r="I100" s="153"/>
      <x:c r="J100" s="146"/>
      <x:c r="K100"/>
      <x:c r="L100"/>
      <x:c r="M100" s="146"/>
      <x:c r="N100"/>
      <x:c r="O100" s="156"/>
    </x:row>
  </x:sheetData>
  <x:mergeCells>
    <x:mergeCell ref="B3:E3"/>
    <x:mergeCell ref="B2:E2"/>
    <x:mergeCell ref="B4:E4"/>
  </x:mergeCells>
  <x:dataValidations count="1">
    <x:dataValidation type="list" allowBlank="1" sqref="F11:F107 I11:I107 L11:L107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db60c01af4244d35"/>
</x:worksheet>
</file>

<file path=xl/worksheets/sheet6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52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462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48" customHeight="1">
      <x:c r="A3" s="83" t="s">
        <x:v>111</x:v>
      </x:c>
      <x:c r="B3" s="133" t="s">
        <x:v>463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55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18</x:v>
      </x:c>
      <x:c r="C6" s="90" t="n">
        <x:v>24</x:v>
      </x:c>
      <x:c r="D6" s="90" t="n">
        <x:v>2</x:v>
      </x:c>
      <x:c r="E6" s="91" t="n">
        <x:v>11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 t="str">
        <x:v>Round 2</x:v>
      </x:c>
      <x:c r="B7" s="90" t="n">
        <x:v>23</x:v>
      </x:c>
      <x:c r="C7" s="90" t="n">
        <x:v>16</x:v>
      </x:c>
      <x:c r="D7" s="90" t="n">
        <x:v>5</x:v>
      </x:c>
      <x:c r="E7" s="91" t="n">
        <x:v>11</x:v>
      </x:c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149" t="str">
        <x:v>Round 2</x:v>
      </x:c>
      <x:c r="J10" s="150" t="str">
        <x:v>Test date</x:v>
      </x:c>
      <x:c r="K10" s="149" t="str">
        <x:v>Tester</x:v>
      </x:c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66</x:v>
      </x:c>
      <x:c r="B11" s="98"/>
      <x:c r="C11" s="99"/>
      <x:c r="D11" s="99"/>
      <x:c r="E11" s="99"/>
      <x:c r="F11" s="99"/>
      <x:c r="G11" s="144"/>
      <x:c r="H11" s="99"/>
      <x:c r="I11" s="151"/>
      <x:c r="J11" s="144"/>
      <x:c r="K11" s="99"/>
      <x:c r="L11" s="99"/>
      <x:c r="M11" s="144"/>
      <x:c r="N11" s="99"/>
      <x:c r="O11" s="154"/>
      <x:c r="Q11" s="100"/>
    </x:row>
    <x:row r="12" ht="132" customHeight="1">
      <x:c r="A12" s="101" t="s">
        <x:v>464</x:v>
      </x:c>
      <x:c r="B12" s="37" t="s">
        <x:v>465</x:v>
      </x:c>
      <x:c r="C12" s="37" t="s">
        <x:v>466</x:v>
      </x:c>
      <x:c r="D12" s="102" t="s">
        <x:v>467</x:v>
      </x:c>
      <x:c r="E12" s="102" t="s">
        <x:v>29</x:v>
      </x:c>
      <x:c r="F12" s="101" t="str">
        <x:v>Passed</x:v>
      </x:c>
      <x:c r="G12" s="145" t="n">
        <x:v>46323</x:v>
      </x:c>
      <x:c r="H12" s="101" t="str">
        <x:v>Minh Trí</x:v>
      </x:c>
      <x:c r="I12" s="152" t="str">
        <x:v>Passed</x:v>
      </x:c>
      <x:c r="J12" s="145" t="n">
        <x:v>46325</x:v>
      </x:c>
      <x:c r="K12" s="101" t="str">
        <x:v>Minh Trí</x:v>
      </x:c>
      <x:c r="L12" s="101"/>
      <x:c r="M12" s="145"/>
      <x:c r="N12" s="101"/>
      <x:c r="O12" s="155" t="str">
        <x:v>Round 2: đạt; có bằng chứng trong Postman log/JUnit.</x:v>
      </x:c>
      <x:c r="Q12" s="103"/>
    </x:row>
    <x:row r="13" ht="120" customHeight="1">
      <x:c r="A13" s="101" t="s">
        <x:v>468</x:v>
      </x:c>
      <x:c r="B13" s="37" t="s">
        <x:v>469</x:v>
      </x:c>
      <x:c r="C13" s="37" t="s">
        <x:v>470</x:v>
      </x:c>
      <x:c r="D13" s="102" t="s">
        <x:v>471</x:v>
      </x:c>
      <x:c r="E13" s="102" t="s">
        <x:v>69</x:v>
      </x:c>
      <x:c r="F13" s="101" t="str">
        <x:v>Passed</x:v>
      </x:c>
      <x:c r="G13" s="145" t="n">
        <x:v>46323</x:v>
      </x:c>
      <x:c r="H13" s="101" t="str">
        <x:v>Minh Trí</x:v>
      </x:c>
      <x:c r="I13" s="152" t="str">
        <x:v>Failed</x:v>
      </x:c>
      <x:c r="J13" s="145" t="n">
        <x:v>46325</x:v>
      </x:c>
      <x:c r="K13" s="101" t="str">
        <x:v>Minh Trí</x:v>
      </x:c>
      <x:c r="L13" s="101"/>
      <x:c r="M13" s="145"/>
      <x:c r="N13" s="101"/>
      <x:c r="O13" s="155" t="str">
        <x:v>Round 2: chưa đạt; xem collection log tương ứng trong outputs/pbl6-round2/logs.</x:v>
      </x:c>
      <x:c r="Q13" s="103"/>
    </x:row>
    <x:row r="14" ht="156" customHeight="1">
      <x:c r="A14" s="101" t="s">
        <x:v>472</x:v>
      </x:c>
      <x:c r="B14" s="37" t="s">
        <x:v>473</x:v>
      </x:c>
      <x:c r="C14" s="37" t="s">
        <x:v>474</x:v>
      </x:c>
      <x:c r="D14" s="102" t="s">
        <x:v>475</x:v>
      </x:c>
      <x:c r="E14" s="102" t="s">
        <x:v>69</x:v>
      </x:c>
      <x:c r="F14" s="101" t="str">
        <x:v>Failed</x:v>
      </x:c>
      <x:c r="G14" s="145" t="n">
        <x:v>46323</x:v>
      </x:c>
      <x:c r="H14" s="101" t="str">
        <x:v>Minh Trí</x:v>
      </x:c>
      <x:c r="I14" s="152" t="str">
        <x:v>Passed</x:v>
      </x:c>
      <x:c r="J14" s="145" t="n">
        <x:v>46325</x:v>
      </x:c>
      <x:c r="K14" s="101" t="str">
        <x:v>Minh Trí</x:v>
      </x:c>
      <x:c r="L14" s="101"/>
      <x:c r="M14" s="145"/>
      <x:c r="N14" s="101"/>
      <x:c r="O14" s="155" t="str">
        <x:v>Round 2: đạt; có bằng chứng trong Postman log/JUnit.</x:v>
      </x:c>
      <x:c r="Q14" s="103"/>
    </x:row>
    <x:row r="15" ht="156" customHeight="1">
      <x:c r="A15" s="101" t="s">
        <x:v>476</x:v>
      </x:c>
      <x:c r="B15" s="37" t="s">
        <x:v>477</x:v>
      </x:c>
      <x:c r="C15" s="37" t="s">
        <x:v>478</x:v>
      </x:c>
      <x:c r="D15" s="102" t="s">
        <x:v>479</x:v>
      </x:c>
      <x:c r="E15" s="102" t="s">
        <x:v>480</x:v>
      </x:c>
      <x:c r="F15" s="101" t="str">
        <x:v>Passed</x:v>
      </x:c>
      <x:c r="G15" s="145" t="n">
        <x:v>46323</x:v>
      </x:c>
      <x:c r="H15" s="101" t="str">
        <x:v>Minh Trí</x:v>
      </x:c>
      <x:c r="I15" s="152" t="str">
        <x:v>Passed</x:v>
      </x:c>
      <x:c r="J15" s="145" t="n">
        <x:v>46325</x:v>
      </x:c>
      <x:c r="K15" s="101" t="str">
        <x:v>Minh Trí</x:v>
      </x:c>
      <x:c r="L15" s="101"/>
      <x:c r="M15" s="145"/>
      <x:c r="N15" s="101"/>
      <x:c r="O15" s="155" t="str">
        <x:v>Round 2: đạt; có bằng chứng trong Postman log/JUnit.</x:v>
      </x:c>
      <x:c r="Q15" s="100"/>
    </x:row>
    <x:row r="16" ht="192" customHeight="1">
      <x:c r="A16" s="101" t="s">
        <x:v>481</x:v>
      </x:c>
      <x:c r="B16" s="37" t="s">
        <x:v>482</x:v>
      </x:c>
      <x:c r="C16" s="37" t="s">
        <x:v>483</x:v>
      </x:c>
      <x:c r="D16" s="102" t="s">
        <x:v>484</x:v>
      </x:c>
      <x:c r="E16" s="102" t="s">
        <x:v>485</x:v>
      </x:c>
      <x:c r="F16" s="101" t="str">
        <x:v>Failed</x:v>
      </x:c>
      <x:c r="G16" s="145" t="n">
        <x:v>46323</x:v>
      </x:c>
      <x:c r="H16" s="101" t="str">
        <x:v>Minh Trí</x:v>
      </x:c>
      <x:c r="I16" s="152" t="str">
        <x:v>Passed</x:v>
      </x:c>
      <x:c r="J16" s="145" t="n">
        <x:v>46325</x:v>
      </x:c>
      <x:c r="K16" s="101" t="str">
        <x:v>Minh Trí</x:v>
      </x:c>
      <x:c r="L16" s="101"/>
      <x:c r="M16" s="145"/>
      <x:c r="N16" s="101"/>
      <x:c r="O16" s="155" t="str">
        <x:v>Round 2: đạt; có bằng chứng trong Postman log/JUnit.</x:v>
      </x:c>
      <x:c r="Q16" s="103"/>
    </x:row>
    <x:row r="17" ht="72" customHeight="1">
      <x:c r="A17" s="101" t="s">
        <x:v>486</x:v>
      </x:c>
      <x:c r="B17" s="37" t="s">
        <x:v>487</x:v>
      </x:c>
      <x:c r="C17" s="37" t="s">
        <x:v>488</x:v>
      </x:c>
      <x:c r="D17" s="102" t="s">
        <x:v>489</x:v>
      </x:c>
      <x:c r="E17" s="102" t="s">
        <x:v>26</x:v>
      </x:c>
      <x:c r="F17" s="101" t="str">
        <x:v>Passed</x:v>
      </x:c>
      <x:c r="G17" s="145" t="n">
        <x:v>46323</x:v>
      </x:c>
      <x:c r="H17" s="101" t="str">
        <x:v>Minh Trí</x:v>
      </x:c>
      <x:c r="I17" s="152" t="str">
        <x:v>Passed</x:v>
      </x:c>
      <x:c r="J17" s="145" t="n">
        <x:v>46325</x:v>
      </x:c>
      <x:c r="K17" s="101" t="str">
        <x:v>Minh Trí</x:v>
      </x:c>
      <x:c r="L17" s="101"/>
      <x:c r="M17" s="145"/>
      <x:c r="N17" s="101"/>
      <x:c r="O17" s="155" t="str">
        <x:v>Round 2: đạt; có bằng chứng trong Postman log/JUnit.</x:v>
      </x:c>
    </x:row>
    <x:row r="18" ht="144" customHeight="1">
      <x:c r="A18" s="101" t="s">
        <x:v>490</x:v>
      </x:c>
      <x:c r="B18" s="37" t="s">
        <x:v>491</x:v>
      </x:c>
      <x:c r="C18" s="37" t="s">
        <x:v>492</x:v>
      </x:c>
      <x:c r="D18" s="102" t="s">
        <x:v>493</x:v>
      </x:c>
      <x:c r="E18" s="102" t="s">
        <x:v>494</x:v>
      </x:c>
      <x:c r="F18" s="101" t="str">
        <x:v>Failed</x:v>
      </x:c>
      <x:c r="G18" s="145" t="n">
        <x:v>46323</x:v>
      </x:c>
      <x:c r="H18" s="101" t="str">
        <x:v>Minh Trí</x:v>
      </x:c>
      <x:c r="I18" s="152" t="str">
        <x:v>Failed</x:v>
      </x:c>
      <x:c r="J18" s="145" t="n">
        <x:v>46325</x:v>
      </x:c>
      <x:c r="K18" s="101" t="str">
        <x:v>Minh Trí</x:v>
      </x:c>
      <x:c r="L18" s="101"/>
      <x:c r="M18" s="145"/>
      <x:c r="N18" s="101"/>
      <x:c r="O18" s="155" t="str">
        <x:v>Round 2: chưa đạt; xem collection log tương ứng trong outputs/pbl6-round2/logs.</x:v>
      </x:c>
      <x:c r="Q18" s="100"/>
    </x:row>
    <x:row r="19" ht="120" customHeight="1">
      <x:c r="A19" s="101" t="s">
        <x:v>495</x:v>
      </x:c>
      <x:c r="B19" s="37" t="s">
        <x:v>496</x:v>
      </x:c>
      <x:c r="C19" s="37" t="s">
        <x:v>497</x:v>
      </x:c>
      <x:c r="D19" s="102" t="s">
        <x:v>498</x:v>
      </x:c>
      <x:c r="E19" s="102" t="s">
        <x:v>69</x:v>
      </x:c>
      <x:c r="F19" s="101" t="str">
        <x:v>Passed</x:v>
      </x:c>
      <x:c r="G19" s="145" t="n">
        <x:v>46323</x:v>
      </x:c>
      <x:c r="H19" s="101" t="str">
        <x:v>Minh Trí</x:v>
      </x:c>
      <x:c r="I19" s="152" t="str">
        <x:v>Passed</x:v>
      </x:c>
      <x:c r="J19" s="145" t="n">
        <x:v>46325</x:v>
      </x:c>
      <x:c r="K19" s="101" t="str">
        <x:v>Minh Trí</x:v>
      </x:c>
      <x:c r="L19" s="101"/>
      <x:c r="M19" s="145"/>
      <x:c r="N19" s="101"/>
      <x:c r="O19" s="155" t="str">
        <x:v>Round 2: đạt; có bằng chứng trong Postman log/JUnit.</x:v>
      </x:c>
      <x:c r="Q19" s="103"/>
    </x:row>
    <x:row r="20" ht="120" customHeight="1">
      <x:c r="A20" s="101" t="s">
        <x:v>499</x:v>
      </x:c>
      <x:c r="B20" s="37" t="s">
        <x:v>500</x:v>
      </x:c>
      <x:c r="C20" s="37" t="s">
        <x:v>501</x:v>
      </x:c>
      <x:c r="D20" s="102" t="s">
        <x:v>502</x:v>
      </x:c>
      <x:c r="E20" s="102" t="s">
        <x:v>503</x:v>
      </x:c>
      <x:c r="F20" s="101" t="str">
        <x:v>Passed</x:v>
      </x:c>
      <x:c r="G20" s="145" t="n">
        <x:v>46323</x:v>
      </x:c>
      <x:c r="H20" s="101" t="str">
        <x:v>Minh Trí</x:v>
      </x:c>
      <x:c r="I20" s="152" t="str">
        <x:v>Failed</x:v>
      </x:c>
      <x:c r="J20" s="145" t="n">
        <x:v>46325</x:v>
      </x:c>
      <x:c r="K20" s="101" t="str">
        <x:v>Minh Trí</x:v>
      </x:c>
      <x:c r="L20" s="101"/>
      <x:c r="M20" s="145"/>
      <x:c r="N20" s="101"/>
      <x:c r="O20" s="155" t="str">
        <x:v>Round 2: chưa đạt; xem collection log tương ứng trong outputs/pbl6-round2/logs.</x:v>
      </x:c>
    </x:row>
    <x:row r="21" ht="12.75" customHeight="1">
      <x:c r="A21" s="98" t="s">
        <x:v>70</x:v>
      </x:c>
      <x:c r="B21" s="98"/>
      <x:c r="C21" s="99"/>
      <x:c r="D21" s="99"/>
      <x:c r="E21" s="99"/>
      <x:c r="F21" s="99"/>
      <x:c r="G21" s="144"/>
      <x:c r="H21" s="99"/>
      <x:c r="I21" s="151"/>
      <x:c r="J21" s="144"/>
      <x:c r="K21" s="99"/>
      <x:c r="L21" s="99"/>
      <x:c r="M21" s="144"/>
      <x:c r="N21" s="99"/>
      <x:c r="O21" s="154"/>
    </x:row>
    <x:row r="22" ht="120" customHeight="1">
      <x:c r="A22" s="101" t="s">
        <x:v>504</x:v>
      </x:c>
      <x:c r="B22" s="37" t="s">
        <x:v>505</x:v>
      </x:c>
      <x:c r="C22" s="37" t="s">
        <x:v>506</x:v>
      </x:c>
      <x:c r="D22" s="102" t="s">
        <x:v>507</x:v>
      </x:c>
      <x:c r="E22" s="102" t="s">
        <x:v>72</x:v>
      </x:c>
      <x:c r="F22" s="101" t="str">
        <x:v>Failed</x:v>
      </x:c>
      <x:c r="G22" s="145" t="n">
        <x:v>46323</x:v>
      </x:c>
      <x:c r="H22" s="101" t="str">
        <x:v>Minh Trí</x:v>
      </x:c>
      <x:c r="I22" s="152" t="str">
        <x:v>Failed</x:v>
      </x:c>
      <x:c r="J22" s="145" t="n">
        <x:v>46325</x:v>
      </x:c>
      <x:c r="K22" s="101" t="str">
        <x:v>Minh Trí</x:v>
      </x:c>
      <x:c r="L22" s="101"/>
      <x:c r="M22" s="145"/>
      <x:c r="N22" s="101"/>
      <x:c r="O22" s="155" t="str">
        <x:v>Round 2: chưa đạt; xem collection log tương ứng trong outputs/pbl6-round2/logs.</x:v>
      </x:c>
    </x:row>
    <x:row r="23" ht="120" customHeight="1">
      <x:c r="A23" s="101" t="s">
        <x:v>508</x:v>
      </x:c>
      <x:c r="B23" s="37" t="s">
        <x:v>509</x:v>
      </x:c>
      <x:c r="C23" s="37" t="s">
        <x:v>510</x:v>
      </x:c>
      <x:c r="D23" s="102" t="s">
        <x:v>511</x:v>
      </x:c>
      <x:c r="E23" s="102" t="s">
        <x:v>72</x:v>
      </x:c>
      <x:c r="F23" s="101" t="str">
        <x:v>Failed</x:v>
      </x:c>
      <x:c r="G23" s="145" t="n">
        <x:v>46323</x:v>
      </x:c>
      <x:c r="H23" s="101" t="str">
        <x:v>Minh Trí</x:v>
      </x:c>
      <x:c r="I23" s="152" t="str">
        <x:v>Pending</x:v>
      </x:c>
      <x:c r="J23" s="145"/>
      <x:c r="K23" s="101"/>
      <x:c r="L23" s="101"/>
      <x:c r="M23" s="145"/>
      <x:c r="N23" s="101"/>
      <x:c r="O23" s="155" t="str">
        <x:v>Chưa có assertion Round 2 ánh xạ trực tiếp tới test case này.</x:v>
      </x:c>
    </x:row>
    <x:row r="24" ht="156" customHeight="1">
      <x:c r="A24" s="101" t="s">
        <x:v>512</x:v>
      </x:c>
      <x:c r="B24" s="37" t="s">
        <x:v>513</x:v>
      </x:c>
      <x:c r="C24" s="37" t="s">
        <x:v>514</x:v>
      </x:c>
      <x:c r="D24" s="102" t="s">
        <x:v>515</x:v>
      </x:c>
      <x:c r="E24" s="102" t="s">
        <x:v>72</x:v>
      </x:c>
      <x:c r="F24" s="101" t="str">
        <x:v>Failed</x:v>
      </x:c>
      <x:c r="G24" s="145" t="n">
        <x:v>46323</x:v>
      </x:c>
      <x:c r="H24" s="101" t="str">
        <x:v>Minh Trí</x:v>
      </x:c>
      <x:c r="I24" s="152" t="str">
        <x:v>Passed</x:v>
      </x:c>
      <x:c r="J24" s="145" t="n">
        <x:v>46325</x:v>
      </x:c>
      <x:c r="K24" s="101" t="str">
        <x:v>Minh Trí</x:v>
      </x:c>
      <x:c r="L24" s="101"/>
      <x:c r="M24" s="145"/>
      <x:c r="N24" s="101"/>
      <x:c r="O24" s="155" t="str">
        <x:v>Round 2: đạt; có bằng chứng trong Postman log/JUnit.</x:v>
      </x:c>
    </x:row>
    <x:row r="25" ht="168" customHeight="1">
      <x:c r="A25" s="101" t="s">
        <x:v>516</x:v>
      </x:c>
      <x:c r="B25" s="37" t="s">
        <x:v>517</x:v>
      </x:c>
      <x:c r="C25" s="37" t="s">
        <x:v>518</x:v>
      </x:c>
      <x:c r="D25" s="102" t="s">
        <x:v>519</x:v>
      </x:c>
      <x:c r="E25" s="102" t="s">
        <x:v>72</x:v>
      </x:c>
      <x:c r="F25" s="101" t="str">
        <x:v>Passed</x:v>
      </x:c>
      <x:c r="G25" s="145" t="n">
        <x:v>46323</x:v>
      </x:c>
      <x:c r="H25" s="101" t="str">
        <x:v>Minh Trí</x:v>
      </x:c>
      <x:c r="I25" s="152" t="str">
        <x:v>Passed</x:v>
      </x:c>
      <x:c r="J25" s="145" t="n">
        <x:v>46325</x:v>
      </x:c>
      <x:c r="K25" s="101" t="str">
        <x:v>Minh Trí</x:v>
      </x:c>
      <x:c r="L25" s="101"/>
      <x:c r="M25" s="145"/>
      <x:c r="N25" s="101"/>
      <x:c r="O25" s="155" t="str">
        <x:v>Round 2: đạt; có bằng chứng trong Postman log/JUnit.</x:v>
      </x:c>
    </x:row>
    <x:row r="26" ht="132" customHeight="1">
      <x:c r="A26" s="101" t="s">
        <x:v>520</x:v>
      </x:c>
      <x:c r="B26" s="37" t="s">
        <x:v>521</x:v>
      </x:c>
      <x:c r="C26" s="37" t="s">
        <x:v>522</x:v>
      </x:c>
      <x:c r="D26" s="102" t="s">
        <x:v>523</x:v>
      </x:c>
      <x:c r="E26" s="102" t="s">
        <x:v>524</x:v>
      </x:c>
      <x:c r="F26" s="101" t="str">
        <x:v>Failed</x:v>
      </x:c>
      <x:c r="G26" s="145" t="n">
        <x:v>46323</x:v>
      </x:c>
      <x:c r="H26" s="101" t="str">
        <x:v>Minh Trí</x:v>
      </x:c>
      <x:c r="I26" s="152" t="str">
        <x:v>Passed</x:v>
      </x:c>
      <x:c r="J26" s="145" t="n">
        <x:v>46325</x:v>
      </x:c>
      <x:c r="K26" s="101" t="str">
        <x:v>Minh Trí</x:v>
      </x:c>
      <x:c r="L26" s="101"/>
      <x:c r="M26" s="145"/>
      <x:c r="N26" s="101"/>
      <x:c r="O26" s="155" t="str">
        <x:v>Round 2: đạt; có bằng chứng trong Postman log/JUnit.</x:v>
      </x:c>
    </x:row>
    <x:row r="27" ht="120" customHeight="1">
      <x:c r="A27" s="101" t="s">
        <x:v>525</x:v>
      </x:c>
      <x:c r="B27" s="37" t="s">
        <x:v>526</x:v>
      </x:c>
      <x:c r="C27" s="37" t="s">
        <x:v>527</x:v>
      </x:c>
      <x:c r="D27" s="102" t="s">
        <x:v>528</x:v>
      </x:c>
      <x:c r="E27" s="102" t="s">
        <x:v>72</x:v>
      </x:c>
      <x:c r="F27" s="101" t="str">
        <x:v>Failed</x:v>
      </x:c>
      <x:c r="G27" s="145" t="n">
        <x:v>46323</x:v>
      </x:c>
      <x:c r="H27" s="101" t="str">
        <x:v>Minh Trí</x:v>
      </x:c>
      <x:c r="I27" s="152" t="str">
        <x:v>Passed</x:v>
      </x:c>
      <x:c r="J27" s="145" t="n">
        <x:v>46325</x:v>
      </x:c>
      <x:c r="K27" s="101" t="str">
        <x:v>Minh Trí</x:v>
      </x:c>
      <x:c r="L27" s="101"/>
      <x:c r="M27" s="145"/>
      <x:c r="N27" s="101"/>
      <x:c r="O27" s="155" t="str">
        <x:v>Round 2: đạt; có bằng chứng trong Postman log/JUnit.</x:v>
      </x:c>
    </x:row>
    <x:row r="28" ht="120" customHeight="1">
      <x:c r="A28" s="101" t="s">
        <x:v>529</x:v>
      </x:c>
      <x:c r="B28" s="37" t="s">
        <x:v>530</x:v>
      </x:c>
      <x:c r="C28" s="37" t="s">
        <x:v>531</x:v>
      </x:c>
      <x:c r="D28" s="102" t="s">
        <x:v>532</x:v>
      </x:c>
      <x:c r="E28" s="102" t="s">
        <x:v>533</x:v>
      </x:c>
      <x:c r="F28" s="101" t="str">
        <x:v>Passed</x:v>
      </x:c>
      <x:c r="G28" s="145" t="n">
        <x:v>46323</x:v>
      </x:c>
      <x:c r="H28" s="101" t="str">
        <x:v>Minh Trí</x:v>
      </x:c>
      <x:c r="I28" s="152" t="str">
        <x:v>Failed</x:v>
      </x:c>
      <x:c r="J28" s="145" t="n">
        <x:v>46325</x:v>
      </x:c>
      <x:c r="K28" s="101" t="str">
        <x:v>Minh Trí</x:v>
      </x:c>
      <x:c r="L28" s="101"/>
      <x:c r="M28" s="145"/>
      <x:c r="N28" s="101"/>
      <x:c r="O28" s="155" t="str">
        <x:v>Round 2: chưa đạt; xem collection log tương ứng trong outputs/pbl6-round2/logs.</x:v>
      </x:c>
    </x:row>
    <x:row r="29" ht="168" customHeight="1">
      <x:c r="A29" s="101" t="s">
        <x:v>534</x:v>
      </x:c>
      <x:c r="B29" s="37" t="s">
        <x:v>535</x:v>
      </x:c>
      <x:c r="C29" s="37" t="s">
        <x:v>536</x:v>
      </x:c>
      <x:c r="D29" s="102" t="s">
        <x:v>537</x:v>
      </x:c>
      <x:c r="E29" s="102" t="s">
        <x:v>538</x:v>
      </x:c>
      <x:c r="F29" s="101" t="str">
        <x:v>Passed</x:v>
      </x:c>
      <x:c r="G29" s="145" t="n">
        <x:v>46323</x:v>
      </x:c>
      <x:c r="H29" s="101" t="str">
        <x:v>Minh Trí</x:v>
      </x:c>
      <x:c r="I29" s="152" t="str">
        <x:v>Passed</x:v>
      </x:c>
      <x:c r="J29" s="145" t="n">
        <x:v>46325</x:v>
      </x:c>
      <x:c r="K29" s="101" t="str">
        <x:v>Minh Trí</x:v>
      </x:c>
      <x:c r="L29" s="101"/>
      <x:c r="M29" s="145"/>
      <x:c r="N29" s="101"/>
      <x:c r="O29" s="155" t="str">
        <x:v>Round 2: đạt; có bằng chứng trong Postman log/JUnit.</x:v>
      </x:c>
    </x:row>
    <x:row r="30" ht="168" customHeight="1">
      <x:c r="A30" s="101" t="s">
        <x:v>539</x:v>
      </x:c>
      <x:c r="B30" s="37" t="s">
        <x:v>540</x:v>
      </x:c>
      <x:c r="C30" s="37" t="s">
        <x:v>541</x:v>
      </x:c>
      <x:c r="D30" s="102" t="s">
        <x:v>542</x:v>
      </x:c>
      <x:c r="E30" s="102" t="s">
        <x:v>543</x:v>
      </x:c>
      <x:c r="F30" s="101" t="str">
        <x:v>Failed</x:v>
      </x:c>
      <x:c r="G30" s="145" t="n">
        <x:v>46323</x:v>
      </x:c>
      <x:c r="H30" s="101" t="str">
        <x:v>Minh Trí</x:v>
      </x:c>
      <x:c r="I30" s="152" t="str">
        <x:v>Passed</x:v>
      </x:c>
      <x:c r="J30" s="145" t="n">
        <x:v>46325</x:v>
      </x:c>
      <x:c r="K30" s="101" t="str">
        <x:v>Minh Trí</x:v>
      </x:c>
      <x:c r="L30" s="101"/>
      <x:c r="M30" s="145"/>
      <x:c r="N30" s="101"/>
      <x:c r="O30" s="155" t="str">
        <x:v>Round 2: đạt; có bằng chứng trong Postman log/JUnit.</x:v>
      </x:c>
    </x:row>
    <x:row r="31" ht="60" customHeight="1">
      <x:c r="A31" s="101" t="s">
        <x:v>544</x:v>
      </x:c>
      <x:c r="B31" s="37" t="s">
        <x:v>545</x:v>
      </x:c>
      <x:c r="C31" s="37" t="s">
        <x:v>546</x:v>
      </x:c>
      <x:c r="D31" s="102" t="s">
        <x:v>547</x:v>
      </x:c>
      <x:c r="E31" s="102" t="s">
        <x:v>548</x:v>
      </x:c>
      <x:c r="F31" s="101" t="str">
        <x:v>Failed</x:v>
      </x:c>
      <x:c r="G31" s="145" t="n">
        <x:v>46323</x:v>
      </x:c>
      <x:c r="H31" s="101" t="str">
        <x:v>Minh Trí</x:v>
      </x:c>
      <x:c r="I31" s="152" t="str">
        <x:v>Pending</x:v>
      </x:c>
      <x:c r="J31" s="145"/>
      <x:c r="K31" s="101"/>
      <x:c r="L31" s="101"/>
      <x:c r="M31" s="145"/>
      <x:c r="N31" s="101"/>
      <x:c r="O31" s="155" t="str">
        <x:v>Chưa có assertion Round 2 ánh xạ trực tiếp tới test case này.</x:v>
      </x:c>
    </x:row>
    <x:row r="32" ht="180" customHeight="1">
      <x:c r="A32" s="101" t="s">
        <x:v>549</x:v>
      </x:c>
      <x:c r="B32" s="37" t="s">
        <x:v>550</x:v>
      </x:c>
      <x:c r="C32" s="37" t="s">
        <x:v>551</x:v>
      </x:c>
      <x:c r="D32" s="102" t="s">
        <x:v>552</x:v>
      </x:c>
      <x:c r="E32" s="102" t="s">
        <x:v>72</x:v>
      </x:c>
      <x:c r="F32" s="101" t="str">
        <x:v>Failed</x:v>
      </x:c>
      <x:c r="G32" s="145" t="n">
        <x:v>46323</x:v>
      </x:c>
      <x:c r="H32" s="101" t="str">
        <x:v>Minh Trí</x:v>
      </x:c>
      <x:c r="I32" s="152" t="str">
        <x:v>Failed</x:v>
      </x:c>
      <x:c r="J32" s="145" t="n">
        <x:v>46325</x:v>
      </x:c>
      <x:c r="K32" s="101" t="str">
        <x:v>Minh Trí</x:v>
      </x:c>
      <x:c r="L32" s="101"/>
      <x:c r="M32" s="145"/>
      <x:c r="N32" s="101"/>
      <x:c r="O32" s="155" t="str">
        <x:v>Round 2: chưa đạt; xem collection log tương ứng trong outputs/pbl6-round2/logs.</x:v>
      </x:c>
    </x:row>
    <x:row r="33" ht="156" customHeight="1">
      <x:c r="A33" s="101" t="s">
        <x:v>553</x:v>
      </x:c>
      <x:c r="B33" s="37" t="s">
        <x:v>554</x:v>
      </x:c>
      <x:c r="C33" s="37" t="s">
        <x:v>555</x:v>
      </x:c>
      <x:c r="D33" s="102" t="s">
        <x:v>556</x:v>
      </x:c>
      <x:c r="E33" s="102" t="s">
        <x:v>557</x:v>
      </x:c>
      <x:c r="F33" s="101" t="str">
        <x:v>Failed</x:v>
      </x:c>
      <x:c r="G33" s="145" t="n">
        <x:v>46323</x:v>
      </x:c>
      <x:c r="H33" s="101" t="str">
        <x:v>Minh Trí</x:v>
      </x:c>
      <x:c r="I33" s="152" t="str">
        <x:v>Failed</x:v>
      </x:c>
      <x:c r="J33" s="145" t="n">
        <x:v>46325</x:v>
      </x:c>
      <x:c r="K33" s="101" t="str">
        <x:v>Minh Trí</x:v>
      </x:c>
      <x:c r="L33" s="101"/>
      <x:c r="M33" s="145"/>
      <x:c r="N33" s="101"/>
      <x:c r="O33" s="155" t="str">
        <x:v>Round 2: chưa đạt; xem collection log tương ứng trong outputs/pbl6-round2/logs.</x:v>
      </x:c>
    </x:row>
    <x:row r="34" ht="12.75" customHeight="1">
      <x:c r="A34" s="98" t="s">
        <x:v>73</x:v>
      </x:c>
      <x:c r="B34" s="98"/>
      <x:c r="C34" s="99"/>
      <x:c r="D34" s="99"/>
      <x:c r="E34" s="99"/>
      <x:c r="F34" s="99"/>
      <x:c r="G34" s="144"/>
      <x:c r="H34" s="99"/>
      <x:c r="I34" s="151"/>
      <x:c r="J34" s="144"/>
      <x:c r="K34" s="99"/>
      <x:c r="L34" s="99"/>
      <x:c r="M34" s="144"/>
      <x:c r="N34" s="99"/>
      <x:c r="O34" s="154"/>
    </x:row>
    <x:row r="35" ht="72" customHeight="1">
      <x:c r="A35" s="101" t="s">
        <x:v>558</x:v>
      </x:c>
      <x:c r="B35" s="37" t="s">
        <x:v>559</x:v>
      </x:c>
      <x:c r="C35" s="37" t="s">
        <x:v>560</x:v>
      </x:c>
      <x:c r="D35" s="102" t="s">
        <x:v>561</x:v>
      </x:c>
      <x:c r="E35" s="102" t="s">
        <x:v>562</x:v>
      </x:c>
      <x:c r="F35" s="101" t="str">
        <x:v>Passed</x:v>
      </x:c>
      <x:c r="G35" s="145" t="n">
        <x:v>46323</x:v>
      </x:c>
      <x:c r="H35" s="101" t="str">
        <x:v>Minh Trí</x:v>
      </x:c>
      <x:c r="I35" s="152" t="str">
        <x:v>Passed</x:v>
      </x:c>
      <x:c r="J35" s="145" t="n">
        <x:v>46325</x:v>
      </x:c>
      <x:c r="K35" s="101" t="str">
        <x:v>Minh Trí</x:v>
      </x:c>
      <x:c r="L35" s="101"/>
      <x:c r="M35" s="145"/>
      <x:c r="N35" s="101"/>
      <x:c r="O35" s="155" t="str">
        <x:v>Round 2: đạt; có bằng chứng trong Postman log/JUnit.</x:v>
      </x:c>
    </x:row>
    <x:row r="36" ht="72" customHeight="1">
      <x:c r="A36" s="101" t="s">
        <x:v>563</x:v>
      </x:c>
      <x:c r="B36" s="37" t="s">
        <x:v>564</x:v>
      </x:c>
      <x:c r="C36" s="37" t="s">
        <x:v>565</x:v>
      </x:c>
      <x:c r="D36" s="102" t="s">
        <x:v>566</x:v>
      </x:c>
      <x:c r="E36" s="102" t="s">
        <x:v>567</x:v>
      </x:c>
      <x:c r="F36" s="101" t="str">
        <x:v>Failed</x:v>
      </x:c>
      <x:c r="G36" s="145" t="n">
        <x:v>46323</x:v>
      </x:c>
      <x:c r="H36" s="101" t="str">
        <x:v>Minh Trí</x:v>
      </x:c>
      <x:c r="I36" s="152" t="str">
        <x:v>Passed</x:v>
      </x:c>
      <x:c r="J36" s="145" t="n">
        <x:v>46325</x:v>
      </x:c>
      <x:c r="K36" s="101" t="str">
        <x:v>Minh Trí</x:v>
      </x:c>
      <x:c r="L36" s="101"/>
      <x:c r="M36" s="145"/>
      <x:c r="N36" s="101"/>
      <x:c r="O36" s="155" t="str">
        <x:v>Round 2: đạt; có bằng chứng trong Postman log/JUnit.</x:v>
      </x:c>
    </x:row>
    <x:row r="37" ht="60" customHeight="1">
      <x:c r="A37" s="101" t="s">
        <x:v>568</x:v>
      </x:c>
      <x:c r="B37" s="37" t="s">
        <x:v>569</x:v>
      </x:c>
      <x:c r="C37" s="37" t="s">
        <x:v>570</x:v>
      </x:c>
      <x:c r="D37" s="102" t="s">
        <x:v>571</x:v>
      </x:c>
      <x:c r="E37" s="102" t="s">
        <x:v>29</x:v>
      </x:c>
      <x:c r="F37" s="101" t="str">
        <x:v>Passed</x:v>
      </x:c>
      <x:c r="G37" s="145" t="n">
        <x:v>46323</x:v>
      </x:c>
      <x:c r="H37" s="101" t="str">
        <x:v>Minh Trí</x:v>
      </x:c>
      <x:c r="I37" s="152" t="str">
        <x:v>Passed</x:v>
      </x:c>
      <x:c r="J37" s="145" t="n">
        <x:v>46325</x:v>
      </x:c>
      <x:c r="K37" s="101" t="str">
        <x:v>Minh Trí</x:v>
      </x:c>
      <x:c r="L37" s="101"/>
      <x:c r="M37" s="145"/>
      <x:c r="N37" s="101"/>
      <x:c r="O37" s="155" t="str">
        <x:v>Round 2: đạt; có bằng chứng trong Postman log/JUnit.</x:v>
      </x:c>
    </x:row>
    <x:row r="38" ht="12.75" customHeight="1">
      <x:c r="A38" s="98" t="s">
        <x:v>75</x:v>
      </x:c>
      <x:c r="B38" s="98"/>
      <x:c r="C38" s="99"/>
      <x:c r="D38" s="99"/>
      <x:c r="E38" s="99"/>
      <x:c r="F38" s="99"/>
      <x:c r="G38" s="144"/>
      <x:c r="H38" s="99"/>
      <x:c r="I38" s="151"/>
      <x:c r="J38" s="144"/>
      <x:c r="K38" s="99"/>
      <x:c r="L38" s="99"/>
      <x:c r="M38" s="144"/>
      <x:c r="N38" s="99"/>
      <x:c r="O38" s="154"/>
      <x:c r="Q38" s="100"/>
    </x:row>
    <x:row r="39" ht="180" customHeight="1">
      <x:c r="A39" s="101" t="s">
        <x:v>572</x:v>
      </x:c>
      <x:c r="B39" s="37" t="s">
        <x:v>573</x:v>
      </x:c>
      <x:c r="C39" s="37" t="s">
        <x:v>574</x:v>
      </x:c>
      <x:c r="D39" s="102" t="s">
        <x:v>575</x:v>
      </x:c>
      <x:c r="E39" s="102" t="s">
        <x:v>576</x:v>
      </x:c>
      <x:c r="F39" s="101" t="str">
        <x:v>Failed</x:v>
      </x:c>
      <x:c r="G39" s="145" t="n">
        <x:v>46323</x:v>
      </x:c>
      <x:c r="H39" s="101" t="str">
        <x:v>Minh Trí</x:v>
      </x:c>
      <x:c r="I39" s="152" t="str">
        <x:v>Failed</x:v>
      </x:c>
      <x:c r="J39" s="145" t="n">
        <x:v>46325</x:v>
      </x:c>
      <x:c r="K39" s="101" t="str">
        <x:v>Minh Trí</x:v>
      </x:c>
      <x:c r="L39" s="101"/>
      <x:c r="M39" s="145"/>
      <x:c r="N39" s="101"/>
      <x:c r="O39" s="155" t="str">
        <x:v>Round 2: chưa đạt; xem collection log tương ứng trong outputs/pbl6-round2/logs.</x:v>
      </x:c>
      <x:c r="Q39" s="103"/>
    </x:row>
    <x:row r="40" ht="204" customHeight="1">
      <x:c r="A40" s="101" t="s">
        <x:v>577</x:v>
      </x:c>
      <x:c r="B40" s="37" t="s">
        <x:v>578</x:v>
      </x:c>
      <x:c r="C40" s="37" t="s">
        <x:v>579</x:v>
      </x:c>
      <x:c r="D40" s="102" t="s">
        <x:v>580</x:v>
      </x:c>
      <x:c r="E40" s="102" t="s">
        <x:v>576</x:v>
      </x:c>
      <x:c r="F40" s="101" t="str">
        <x:v>Failed</x:v>
      </x:c>
      <x:c r="G40" s="145" t="n">
        <x:v>46323</x:v>
      </x:c>
      <x:c r="H40" s="101" t="str">
        <x:v>Minh Trí</x:v>
      </x:c>
      <x:c r="I40" s="152" t="str">
        <x:v>Failed</x:v>
      </x:c>
      <x:c r="J40" s="145" t="n">
        <x:v>46325</x:v>
      </x:c>
      <x:c r="K40" s="101" t="str">
        <x:v>Minh Trí</x:v>
      </x:c>
      <x:c r="L40" s="101"/>
      <x:c r="M40" s="145"/>
      <x:c r="N40" s="101"/>
      <x:c r="O40" s="155" t="str">
        <x:v>Round 2: chưa đạt; xem collection log tương ứng trong outputs/pbl6-round2/logs.</x:v>
      </x:c>
      <x:c r="Q40" s="103"/>
    </x:row>
    <x:row r="41" ht="180" customHeight="1">
      <x:c r="A41" s="101" t="s">
        <x:v>581</x:v>
      </x:c>
      <x:c r="B41" s="37" t="s">
        <x:v>582</x:v>
      </x:c>
      <x:c r="C41" s="37" t="s">
        <x:v>583</x:v>
      </x:c>
      <x:c r="D41" s="102" t="s">
        <x:v>584</x:v>
      </x:c>
      <x:c r="E41" s="102" t="s">
        <x:v>585</x:v>
      </x:c>
      <x:c r="F41" s="101" t="str">
        <x:v>Failed</x:v>
      </x:c>
      <x:c r="G41" s="145" t="n">
        <x:v>46323</x:v>
      </x:c>
      <x:c r="H41" s="101" t="str">
        <x:v>Minh Trí</x:v>
      </x:c>
      <x:c r="I41" s="152" t="str">
        <x:v>Failed</x:v>
      </x:c>
      <x:c r="J41" s="145" t="n">
        <x:v>46325</x:v>
      </x:c>
      <x:c r="K41" s="101" t="str">
        <x:v>Minh Trí</x:v>
      </x:c>
      <x:c r="L41" s="101"/>
      <x:c r="M41" s="145"/>
      <x:c r="N41" s="101"/>
      <x:c r="O41" s="155" t="str">
        <x:v>Round 2: chưa đạt; xem collection log tương ứng trong outputs/pbl6-round2/logs.</x:v>
      </x:c>
      <x:c r="Q41" s="103"/>
    </x:row>
    <x:row r="42" ht="168" customHeight="1">
      <x:c r="A42" s="101" t="s">
        <x:v>586</x:v>
      </x:c>
      <x:c r="B42" s="37" t="s">
        <x:v>587</x:v>
      </x:c>
      <x:c r="C42" s="37" t="s">
        <x:v>588</x:v>
      </x:c>
      <x:c r="D42" s="102" t="s">
        <x:v>589</x:v>
      </x:c>
      <x:c r="E42" s="102" t="s">
        <x:v>576</x:v>
      </x:c>
      <x:c r="F42" s="101" t="str">
        <x:v>Passed</x:v>
      </x:c>
      <x:c r="G42" s="145" t="n">
        <x:v>46323</x:v>
      </x:c>
      <x:c r="H42" s="101" t="str">
        <x:v>Minh Trí</x:v>
      </x:c>
      <x:c r="I42" s="152" t="str">
        <x:v>Failed</x:v>
      </x:c>
      <x:c r="J42" s="145" t="n">
        <x:v>46325</x:v>
      </x:c>
      <x:c r="K42" s="101" t="str">
        <x:v>Minh Trí</x:v>
      </x:c>
      <x:c r="L42" s="101"/>
      <x:c r="M42" s="145"/>
      <x:c r="N42" s="101"/>
      <x:c r="O42" s="155" t="str">
        <x:v>Round 2: chưa đạt; xem collection log tương ứng trong outputs/pbl6-round2/logs.</x:v>
      </x:c>
      <x:c r="Q42" s="100"/>
    </x:row>
    <x:row r="43" ht="180" customHeight="1">
      <x:c r="A43" s="101" t="s">
        <x:v>590</x:v>
      </x:c>
      <x:c r="B43" s="37" t="s">
        <x:v>591</x:v>
      </x:c>
      <x:c r="C43" s="37" t="s">
        <x:v>592</x:v>
      </x:c>
      <x:c r="D43" s="102" t="s">
        <x:v>593</x:v>
      </x:c>
      <x:c r="E43" s="102" t="s">
        <x:v>594</x:v>
      </x:c>
      <x:c r="F43" s="101" t="str">
        <x:v>Passed</x:v>
      </x:c>
      <x:c r="G43" s="145" t="n">
        <x:v>46323</x:v>
      </x:c>
      <x:c r="H43" s="101" t="str">
        <x:v>Minh Trí</x:v>
      </x:c>
      <x:c r="I43" s="152" t="str">
        <x:v>Passed</x:v>
      </x:c>
      <x:c r="J43" s="145" t="n">
        <x:v>46325</x:v>
      </x:c>
      <x:c r="K43" s="101" t="str">
        <x:v>Minh Trí</x:v>
      </x:c>
      <x:c r="L43" s="101"/>
      <x:c r="M43" s="145"/>
      <x:c r="N43" s="101"/>
      <x:c r="O43" s="155" t="str">
        <x:v>Round 2: đạt; có bằng chứng trong Postman log/JUnit.</x:v>
      </x:c>
      <x:c r="Q43" s="103"/>
    </x:row>
    <x:row r="44" ht="168" customHeight="1">
      <x:c r="A44" s="101" t="s">
        <x:v>595</x:v>
      </x:c>
      <x:c r="B44" s="37" t="s">
        <x:v>596</x:v>
      </x:c>
      <x:c r="C44" s="37" t="s">
        <x:v>597</x:v>
      </x:c>
      <x:c r="D44" s="102" t="s">
        <x:v>598</x:v>
      </x:c>
      <x:c r="E44" s="102" t="s">
        <x:v>599</x:v>
      </x:c>
      <x:c r="F44" s="101" t="str">
        <x:v>Passed</x:v>
      </x:c>
      <x:c r="G44" s="145" t="n">
        <x:v>46323</x:v>
      </x:c>
      <x:c r="H44" s="101" t="str">
        <x:v>Minh Trí</x:v>
      </x:c>
      <x:c r="I44" s="152" t="str">
        <x:v>Passed</x:v>
      </x:c>
      <x:c r="J44" s="145" t="n">
        <x:v>46325</x:v>
      </x:c>
      <x:c r="K44" s="101" t="str">
        <x:v>Minh Trí</x:v>
      </x:c>
      <x:c r="L44" s="101"/>
      <x:c r="M44" s="145"/>
      <x:c r="N44" s="101"/>
      <x:c r="O44" s="155" t="str">
        <x:v>Round 2: đạt; có bằng chứng trong Postman log/JUnit.</x:v>
      </x:c>
    </x:row>
    <x:row r="45" ht="60" customHeight="1">
      <x:c r="A45" s="101" t="s">
        <x:v>600</x:v>
      </x:c>
      <x:c r="B45" s="37" t="s">
        <x:v>601</x:v>
      </x:c>
      <x:c r="C45" s="37" t="s">
        <x:v>602</x:v>
      </x:c>
      <x:c r="D45" s="102" t="s">
        <x:v>603</x:v>
      </x:c>
      <x:c r="E45" s="102" t="s">
        <x:v>604</x:v>
      </x:c>
      <x:c r="F45" s="101" t="str">
        <x:v>Pending</x:v>
      </x:c>
      <x:c r="G45" s="145"/>
      <x:c r="H45" s="101"/>
      <x:c r="I45" s="152" t="str">
        <x:v>Pending</x:v>
      </x:c>
      <x:c r="J45" s="145"/>
      <x:c r="K45" s="101"/>
      <x:c r="L45" s="101"/>
      <x:c r="M45" s="145"/>
      <x:c r="N45" s="101"/>
      <x:c r="O45" s="155" t="str">
        <x:v>Chưa có assertion Round 2 ánh xạ trực tiếp tới test case này.</x:v>
      </x:c>
      <x:c r="Q45" s="100"/>
    </x:row>
    <x:row r="46" ht="192" customHeight="1">
      <x:c r="A46" s="101" t="s">
        <x:v>605</x:v>
      </x:c>
      <x:c r="B46" s="37" t="s">
        <x:v>606</x:v>
      </x:c>
      <x:c r="C46" s="37" t="s">
        <x:v>607</x:v>
      </x:c>
      <x:c r="D46" s="102" t="s">
        <x:v>608</x:v>
      </x:c>
      <x:c r="E46" s="102" t="s">
        <x:v>576</x:v>
      </x:c>
      <x:c r="F46" s="101" t="str">
        <x:v>Failed</x:v>
      </x:c>
      <x:c r="G46" s="145" t="n">
        <x:v>46323</x:v>
      </x:c>
      <x:c r="H46" s="101" t="str">
        <x:v>Minh Trí</x:v>
      </x:c>
      <x:c r="I46" s="152" t="str">
        <x:v>Pending</x:v>
      </x:c>
      <x:c r="J46" s="145"/>
      <x:c r="K46" s="101"/>
      <x:c r="L46" s="101"/>
      <x:c r="M46" s="145"/>
      <x:c r="N46" s="101"/>
      <x:c r="O46" s="155" t="str">
        <x:v>Chưa có assertion Round 2 ánh xạ trực tiếp tới test case này.</x:v>
      </x:c>
      <x:c r="Q46" s="103"/>
    </x:row>
    <x:row r="47" ht="180" customHeight="1">
      <x:c r="A47" s="101" t="s">
        <x:v>609</x:v>
      </x:c>
      <x:c r="B47" s="37" t="s">
        <x:v>610</x:v>
      </x:c>
      <x:c r="C47" s="37" t="s">
        <x:v>611</x:v>
      </x:c>
      <x:c r="D47" s="102" t="s">
        <x:v>612</x:v>
      </x:c>
      <x:c r="E47" s="102" t="s">
        <x:v>613</x:v>
      </x:c>
      <x:c r="F47" s="101" t="str">
        <x:v>Passed</x:v>
      </x:c>
      <x:c r="G47" s="145" t="n">
        <x:v>46323</x:v>
      </x:c>
      <x:c r="H47" s="101" t="str">
        <x:v>Minh Trí</x:v>
      </x:c>
      <x:c r="I47" s="152" t="str">
        <x:v>Passed</x:v>
      </x:c>
      <x:c r="J47" s="145" t="n">
        <x:v>46325</x:v>
      </x:c>
      <x:c r="K47" s="101" t="str">
        <x:v>Minh Trí</x:v>
      </x:c>
      <x:c r="L47" s="101"/>
      <x:c r="M47" s="145"/>
      <x:c r="N47" s="101"/>
      <x:c r="O47" s="155" t="str">
        <x:v>Round 2: đạt; có bằng chứng trong Postman log/JUnit.</x:v>
      </x:c>
    </x:row>
    <x:row r="48" ht="12.75" customHeight="1">
      <x:c r="A48" s="98" t="s">
        <x:v>78</x:v>
      </x:c>
      <x:c r="B48" s="98"/>
      <x:c r="C48" s="99"/>
      <x:c r="D48" s="99"/>
      <x:c r="E48" s="99"/>
      <x:c r="F48" s="99"/>
      <x:c r="G48" s="144"/>
      <x:c r="H48" s="99"/>
      <x:c r="I48" s="151"/>
      <x:c r="J48" s="144"/>
      <x:c r="K48" s="99"/>
      <x:c r="L48" s="99"/>
      <x:c r="M48" s="144"/>
      <x:c r="N48" s="99"/>
      <x:c r="O48" s="154"/>
    </x:row>
    <x:row r="49" ht="48" customHeight="1">
      <x:c r="A49" s="101" t="s">
        <x:v>614</x:v>
      </x:c>
      <x:c r="B49" s="37" t="s">
        <x:v>615</x:v>
      </x:c>
      <x:c r="C49" s="37" t="s">
        <x:v>616</x:v>
      </x:c>
      <x:c r="D49" s="102" t="s">
        <x:v>617</x:v>
      </x:c>
      <x:c r="E49" s="102" t="s">
        <x:v>618</x:v>
      </x:c>
      <x:c r="F49" s="101" t="str">
        <x:v>N/A</x:v>
      </x:c>
      <x:c r="G49" s="145"/>
      <x:c r="H49" s="101"/>
      <x:c r="I49" s="152" t="str">
        <x:v>N/A</x:v>
      </x:c>
      <x:c r="J49" s="145"/>
      <x:c r="K49" s="101"/>
      <x:c r="L49" s="101"/>
      <x:c r="M49" s="145"/>
      <x:c r="N49" s="101"/>
      <x:c r="O49" s="155" t="str">
        <x:v>Không áp dụng theo phạm vi SRS hiện tại.</x:v>
      </x:c>
    </x:row>
    <x:row r="50" ht="48" customHeight="1">
      <x:c r="A50" s="101" t="s">
        <x:v>619</x:v>
      </x:c>
      <x:c r="B50" s="37" t="s">
        <x:v>620</x:v>
      </x:c>
      <x:c r="C50" s="37" t="s">
        <x:v>621</x:v>
      </x:c>
      <x:c r="D50" s="102" t="s">
        <x:v>622</x:v>
      </x:c>
      <x:c r="E50" s="102" t="s">
        <x:v>576</x:v>
      </x:c>
      <x:c r="F50" s="101" t="str">
        <x:v>N/A</x:v>
      </x:c>
      <x:c r="G50" s="145"/>
      <x:c r="H50" s="101"/>
      <x:c r="I50" s="152" t="str">
        <x:v>N/A</x:v>
      </x:c>
      <x:c r="J50" s="145"/>
      <x:c r="K50" s="101"/>
      <x:c r="L50" s="101"/>
      <x:c r="M50" s="145"/>
      <x:c r="N50" s="101"/>
      <x:c r="O50" s="155" t="str">
        <x:v>Không áp dụng theo phạm vi SRS hiện tại.</x:v>
      </x:c>
    </x:row>
    <x:row r="51" ht="48" customHeight="1">
      <x:c r="A51" s="101" t="s">
        <x:v>623</x:v>
      </x:c>
      <x:c r="B51" s="37" t="s">
        <x:v>624</x:v>
      </x:c>
      <x:c r="C51" s="37" t="s">
        <x:v>625</x:v>
      </x:c>
      <x:c r="D51" s="102" t="s">
        <x:v>626</x:v>
      </x:c>
      <x:c r="E51" s="102" t="s">
        <x:v>627</x:v>
      </x:c>
      <x:c r="F51" s="101" t="str">
        <x:v>N/A</x:v>
      </x:c>
      <x:c r="G51" s="145"/>
      <x:c r="H51" s="101"/>
      <x:c r="I51" s="152" t="str">
        <x:v>N/A</x:v>
      </x:c>
      <x:c r="J51" s="145"/>
      <x:c r="K51" s="101"/>
      <x:c r="L51" s="101"/>
      <x:c r="M51" s="145"/>
      <x:c r="N51" s="101"/>
      <x:c r="O51" s="155" t="str">
        <x:v>Không áp dụng theo phạm vi SRS hiện tại.</x:v>
      </x:c>
    </x:row>
    <x:row r="52" ht="12.75" customHeight="1">
      <x:c r="A52" s="98" t="s">
        <x:v>80</x:v>
      </x:c>
      <x:c r="B52" s="98"/>
      <x:c r="C52" s="99"/>
      <x:c r="D52" s="99"/>
      <x:c r="E52" s="99"/>
      <x:c r="F52" s="99"/>
      <x:c r="G52" s="144"/>
      <x:c r="H52" s="99"/>
      <x:c r="I52" s="151"/>
      <x:c r="J52" s="144"/>
      <x:c r="K52" s="99"/>
      <x:c r="L52" s="99"/>
      <x:c r="M52" s="144"/>
      <x:c r="N52" s="99"/>
      <x:c r="O52" s="154"/>
      <x:c r="Q52" s="100"/>
    </x:row>
    <x:row r="53" ht="72" customHeight="1">
      <x:c r="A53" s="101" t="s">
        <x:v>628</x:v>
      </x:c>
      <x:c r="B53" s="37" t="s">
        <x:v>629</x:v>
      </x:c>
      <x:c r="C53" s="37" t="s">
        <x:v>630</x:v>
      </x:c>
      <x:c r="D53" s="102" t="s">
        <x:v>631</x:v>
      </x:c>
      <x:c r="E53" s="102" t="s">
        <x:v>576</x:v>
      </x:c>
      <x:c r="F53" s="101" t="str">
        <x:v>Failed</x:v>
      </x:c>
      <x:c r="G53" s="145" t="n">
        <x:v>46323</x:v>
      </x:c>
      <x:c r="H53" s="101" t="str">
        <x:v>Minh Trí</x:v>
      </x:c>
      <x:c r="I53" s="152" t="str">
        <x:v>Passed</x:v>
      </x:c>
      <x:c r="J53" s="145" t="n">
        <x:v>46325</x:v>
      </x:c>
      <x:c r="K53" s="101" t="str">
        <x:v>Minh Trí</x:v>
      </x:c>
      <x:c r="L53" s="101"/>
      <x:c r="M53" s="145"/>
      <x:c r="N53" s="101"/>
      <x:c r="O53" s="155" t="str">
        <x:v>Round 2: đạt; có bằng chứng trong Postman log/JUnit.</x:v>
      </x:c>
      <x:c r="Q53" s="103"/>
    </x:row>
    <x:row r="54" ht="120" customHeight="1">
      <x:c r="A54" s="101" t="s">
        <x:v>632</x:v>
      </x:c>
      <x:c r="B54" s="37" t="s">
        <x:v>633</x:v>
      </x:c>
      <x:c r="C54" s="37" t="s">
        <x:v>634</x:v>
      </x:c>
      <x:c r="D54" s="102" t="s">
        <x:v>635</x:v>
      </x:c>
      <x:c r="E54" s="102" t="s">
        <x:v>636</x:v>
      </x:c>
      <x:c r="F54" s="101" t="str">
        <x:v>Passed</x:v>
      </x:c>
      <x:c r="G54" s="145" t="n">
        <x:v>46323</x:v>
      </x:c>
      <x:c r="H54" s="101" t="str">
        <x:v>Minh Trí</x:v>
      </x:c>
      <x:c r="I54" s="152" t="str">
        <x:v>Failed</x:v>
      </x:c>
      <x:c r="J54" s="145" t="n">
        <x:v>46325</x:v>
      </x:c>
      <x:c r="K54" s="101" t="str">
        <x:v>Minh Trí</x:v>
      </x:c>
      <x:c r="L54" s="101"/>
      <x:c r="M54" s="145"/>
      <x:c r="N54" s="101"/>
      <x:c r="O54" s="155" t="str">
        <x:v>Round 2: chưa đạt; xem collection log tương ứng trong outputs/pbl6-round2/logs.</x:v>
      </x:c>
      <x:c r="Q54" s="103"/>
    </x:row>
    <x:row r="55" ht="72" customHeight="1">
      <x:c r="A55" s="101" t="s">
        <x:v>637</x:v>
      </x:c>
      <x:c r="B55" s="37" t="s">
        <x:v>638</x:v>
      </x:c>
      <x:c r="C55" s="37" t="s">
        <x:v>639</x:v>
      </x:c>
      <x:c r="D55" s="102" t="s">
        <x:v>640</x:v>
      </x:c>
      <x:c r="E55" s="102" t="s">
        <x:v>576</x:v>
      </x:c>
      <x:c r="F55" s="101" t="str">
        <x:v>Failed</x:v>
      </x:c>
      <x:c r="G55" s="145" t="n">
        <x:v>46323</x:v>
      </x:c>
      <x:c r="H55" s="101" t="str">
        <x:v>Minh Trí</x:v>
      </x:c>
      <x:c r="I55" s="152" t="str">
        <x:v>Passed</x:v>
      </x:c>
      <x:c r="J55" s="145" t="n">
        <x:v>46325</x:v>
      </x:c>
      <x:c r="K55" s="101" t="str">
        <x:v>Minh Trí</x:v>
      </x:c>
      <x:c r="L55" s="101"/>
      <x:c r="M55" s="145"/>
      <x:c r="N55" s="101"/>
      <x:c r="O55" s="155" t="str">
        <x:v>Round 2: đạt; có bằng chứng trong Postman log/JUnit.</x:v>
      </x:c>
      <x:c r="Q55" s="103"/>
    </x:row>
    <x:row r="56" ht="72" customHeight="1">
      <x:c r="A56" s="101" t="s">
        <x:v>641</x:v>
      </x:c>
      <x:c r="B56" s="37" t="s">
        <x:v>642</x:v>
      </x:c>
      <x:c r="C56" s="37" t="s">
        <x:v>643</x:v>
      </x:c>
      <x:c r="D56" s="102" t="s">
        <x:v>644</x:v>
      </x:c>
      <x:c r="E56" s="102" t="s">
        <x:v>613</x:v>
      </x:c>
      <x:c r="F56" s="101" t="str">
        <x:v>Failed</x:v>
      </x:c>
      <x:c r="G56" s="145" t="n">
        <x:v>46323</x:v>
      </x:c>
      <x:c r="H56" s="101" t="str">
        <x:v>Minh Trí</x:v>
      </x:c>
      <x:c r="I56" s="152" t="str">
        <x:v>Passed</x:v>
      </x:c>
      <x:c r="J56" s="145" t="n">
        <x:v>46325</x:v>
      </x:c>
      <x:c r="K56" s="101" t="str">
        <x:v>Minh Trí</x:v>
      </x:c>
      <x:c r="L56" s="101"/>
      <x:c r="M56" s="145"/>
      <x:c r="N56" s="101"/>
      <x:c r="O56" s="155" t="str">
        <x:v>Round 2: đạt; có bằng chứng trong Postman log/JUnit.</x:v>
      </x:c>
      <x:c r="Q56" s="100"/>
    </x:row>
    <x:row r="57" ht="180" customHeight="1">
      <x:c r="A57" s="98" t="s">
        <x:v>82</x:v>
      </x:c>
      <x:c r="B57" s="98"/>
      <x:c r="C57" s="99"/>
      <x:c r="D57" s="99"/>
      <x:c r="E57" s="99"/>
      <x:c r="F57" s="99" t="str">
        <x:v>Pending</x:v>
      </x:c>
      <x:c r="G57" s="144"/>
      <x:c r="H57" s="99"/>
      <x:c r="I57" s="151" t="str">
        <x:v>Pending</x:v>
      </x:c>
      <x:c r="J57" s="144"/>
      <x:c r="K57" s="99"/>
      <x:c r="L57" s="99"/>
      <x:c r="M57" s="144"/>
      <x:c r="N57" s="99"/>
      <x:c r="O57" s="157" t="str">
        <x:v>Chưa có assertion Round 2 ánh xạ trực tiếp tới test case này.</x:v>
      </x:c>
      <x:c r="Q57" s="103"/>
    </x:row>
    <x:row r="58" ht="120" customHeight="1">
      <x:c r="A58" s="101" t="s">
        <x:v>645</x:v>
      </x:c>
      <x:c r="B58" s="37" t="s">
        <x:v>646</x:v>
      </x:c>
      <x:c r="C58" s="37" t="s">
        <x:v>647</x:v>
      </x:c>
      <x:c r="D58" s="102" t="s">
        <x:v>648</x:v>
      </x:c>
      <x:c r="E58" s="102" t="s">
        <x:v>84</x:v>
      </x:c>
      <x:c r="F58" s="101" t="str">
        <x:v>Failed</x:v>
      </x:c>
      <x:c r="G58" s="145" t="n">
        <x:v>46323</x:v>
      </x:c>
      <x:c r="H58" s="101" t="str">
        <x:v>Minh Trí</x:v>
      </x:c>
      <x:c r="I58" s="152" t="str">
        <x:v>Failed</x:v>
      </x:c>
      <x:c r="J58" s="145" t="n">
        <x:v>46325</x:v>
      </x:c>
      <x:c r="K58" s="101" t="str">
        <x:v>Minh Trí</x:v>
      </x:c>
      <x:c r="L58" s="101"/>
      <x:c r="M58" s="145"/>
      <x:c r="N58" s="101"/>
      <x:c r="O58" s="155" t="str">
        <x:v>Round 2: chưa đạt; xem collection log tương ứng trong outputs/pbl6-round2/logs.</x:v>
      </x:c>
    </x:row>
    <x:row r="59" ht="132" customHeight="1">
      <x:c r="A59" s="101" t="s">
        <x:v>649</x:v>
      </x:c>
      <x:c r="B59" s="37" t="s">
        <x:v>650</x:v>
      </x:c>
      <x:c r="C59" s="37" t="s">
        <x:v>651</x:v>
      </x:c>
      <x:c r="D59" s="102" t="s">
        <x:v>652</x:v>
      </x:c>
      <x:c r="E59" s="102" t="s">
        <x:v>653</x:v>
      </x:c>
      <x:c r="F59" s="101" t="str">
        <x:v>Failed</x:v>
      </x:c>
      <x:c r="G59" s="145" t="n">
        <x:v>46323</x:v>
      </x:c>
      <x:c r="H59" s="101" t="str">
        <x:v>Minh Trí</x:v>
      </x:c>
      <x:c r="I59" s="152" t="str">
        <x:v>Failed</x:v>
      </x:c>
      <x:c r="J59" s="145" t="n">
        <x:v>46325</x:v>
      </x:c>
      <x:c r="K59" s="101" t="str">
        <x:v>Minh Trí</x:v>
      </x:c>
      <x:c r="L59" s="101"/>
      <x:c r="M59" s="145"/>
      <x:c r="N59" s="101"/>
      <x:c r="O59" s="155" t="str">
        <x:v>Round 2: chưa đạt; xem collection log tương ứng trong outputs/pbl6-round2/logs.</x:v>
      </x:c>
      <x:c r="Q59" s="100"/>
    </x:row>
    <x:row r="60" ht="120" customHeight="1">
      <x:c r="A60" s="101" t="s">
        <x:v>654</x:v>
      </x:c>
      <x:c r="B60" s="37" t="s">
        <x:v>655</x:v>
      </x:c>
      <x:c r="C60" s="37" t="s">
        <x:v>656</x:v>
      </x:c>
      <x:c r="D60" s="102" t="s">
        <x:v>657</x:v>
      </x:c>
      <x:c r="E60" s="102" t="s">
        <x:v>658</x:v>
      </x:c>
      <x:c r="F60" s="101" t="str">
        <x:v>Failed</x:v>
      </x:c>
      <x:c r="G60" s="145" t="n">
        <x:v>46323</x:v>
      </x:c>
      <x:c r="H60" s="101" t="str">
        <x:v>Minh Trí</x:v>
      </x:c>
      <x:c r="I60" s="152" t="str">
        <x:v>Failed</x:v>
      </x:c>
      <x:c r="J60" s="145" t="n">
        <x:v>46325</x:v>
      </x:c>
      <x:c r="K60" s="101" t="str">
        <x:v>Minh Trí</x:v>
      </x:c>
      <x:c r="L60" s="101"/>
      <x:c r="M60" s="145"/>
      <x:c r="N60" s="101"/>
      <x:c r="O60" s="155" t="str">
        <x:v>Round 2: chưa đạt; xem collection log tương ứng trong outputs/pbl6-round2/logs.</x:v>
      </x:c>
      <x:c r="Q60" s="103"/>
    </x:row>
    <x:row r="61" ht="180" customHeight="1">
      <x:c r="A61" s="101" t="s">
        <x:v>659</x:v>
      </x:c>
      <x:c r="B61" s="37" t="s">
        <x:v>660</x:v>
      </x:c>
      <x:c r="C61" s="37" t="s">
        <x:v>661</x:v>
      </x:c>
      <x:c r="D61" s="102" t="s">
        <x:v>662</x:v>
      </x:c>
      <x:c r="E61" s="102" t="s">
        <x:v>599</x:v>
      </x:c>
      <x:c r="F61" s="101" t="str">
        <x:v>Passed</x:v>
      </x:c>
      <x:c r="G61" s="145" t="n">
        <x:v>46323</x:v>
      </x:c>
      <x:c r="H61" s="101" t="str">
        <x:v>Minh Trí</x:v>
      </x:c>
      <x:c r="I61" s="152" t="str">
        <x:v>Failed</x:v>
      </x:c>
      <x:c r="J61" s="145" t="n">
        <x:v>46325</x:v>
      </x:c>
      <x:c r="K61" s="101" t="str">
        <x:v>Minh Trí</x:v>
      </x:c>
      <x:c r="L61" s="101"/>
      <x:c r="M61" s="145"/>
      <x:c r="N61" s="101"/>
      <x:c r="O61" s="155" t="str">
        <x:v>Round 2: chưa đạt; xem collection log tương ứng trong outputs/pbl6-round2/logs.</x:v>
      </x:c>
    </x:row>
    <x:row r="62" ht="168" customHeight="1">
      <x:c r="A62" s="101" t="s">
        <x:v>663</x:v>
      </x:c>
      <x:c r="B62" s="37" t="s">
        <x:v>664</x:v>
      </x:c>
      <x:c r="C62" s="37" t="s">
        <x:v>665</x:v>
      </x:c>
      <x:c r="D62" s="102" t="s">
        <x:v>666</x:v>
      </x:c>
      <x:c r="E62" s="102" t="s">
        <x:v>658</x:v>
      </x:c>
      <x:c r="F62" s="101" t="str">
        <x:v>Passed</x:v>
      </x:c>
      <x:c r="G62" s="145" t="n">
        <x:v>46323</x:v>
      </x:c>
      <x:c r="H62" s="101" t="str">
        <x:v>Minh Trí</x:v>
      </x:c>
      <x:c r="I62" s="152" t="str">
        <x:v>Passed</x:v>
      </x:c>
      <x:c r="J62" s="145" t="n">
        <x:v>46325</x:v>
      </x:c>
      <x:c r="K62" s="101" t="str">
        <x:v>Minh Trí</x:v>
      </x:c>
      <x:c r="L62" s="101"/>
      <x:c r="M62" s="145"/>
      <x:c r="N62" s="101"/>
      <x:c r="O62" s="155" t="str">
        <x:v>Round 2: đạt; có bằng chứng trong Postman log/JUnit.</x:v>
      </x:c>
    </x:row>
    <x:row r="63" ht="120" customHeight="1">
      <x:c r="A63" s="101" t="s">
        <x:v>667</x:v>
      </x:c>
      <x:c r="B63" s="37" t="s">
        <x:v>668</x:v>
      </x:c>
      <x:c r="C63" s="37" t="s">
        <x:v>669</x:v>
      </x:c>
      <x:c r="D63" s="102" t="s">
        <x:v>571</x:v>
      </x:c>
      <x:c r="E63" s="102" t="s">
        <x:v>62</x:v>
      </x:c>
      <x:c r="F63" s="101" t="str">
        <x:v>Failed</x:v>
      </x:c>
      <x:c r="G63" s="145" t="n">
        <x:v>46323</x:v>
      </x:c>
      <x:c r="H63" s="101" t="str">
        <x:v>Minh Trí</x:v>
      </x:c>
      <x:c r="I63" s="152" t="str">
        <x:v>Passed</x:v>
      </x:c>
      <x:c r="J63" s="145" t="n">
        <x:v>46325</x:v>
      </x:c>
      <x:c r="K63" s="101" t="str">
        <x:v>Minh Trí</x:v>
      </x:c>
      <x:c r="L63" s="101"/>
      <x:c r="M63" s="145"/>
      <x:c r="N63" s="101"/>
      <x:c r="O63" s="155" t="str">
        <x:v>Round 2: đạt; có bằng chứng trong Postman log/JUnit.</x:v>
      </x:c>
    </x:row>
    <x:row r="64" ht="12.75" customHeight="1">
      <x:c r="A64" s="98" t="s">
        <x:v>85</x:v>
      </x:c>
      <x:c r="B64" s="98"/>
      <x:c r="C64" s="99"/>
      <x:c r="D64" s="99"/>
      <x:c r="E64" s="99"/>
      <x:c r="F64" s="99"/>
      <x:c r="G64" s="144"/>
      <x:c r="H64" s="99"/>
      <x:c r="I64" s="151"/>
      <x:c r="J64" s="144"/>
      <x:c r="K64" s="99"/>
      <x:c r="L64" s="99"/>
      <x:c r="M64" s="144"/>
      <x:c r="N64" s="99"/>
      <x:c r="O64" s="154"/>
      <x:c r="Q64" s="100"/>
    </x:row>
    <x:row r="65" ht="48" customHeight="1">
      <x:c r="A65" s="101" t="s">
        <x:v>670</x:v>
      </x:c>
      <x:c r="B65" s="37" t="s">
        <x:v>671</x:v>
      </x:c>
      <x:c r="C65" s="37" t="s">
        <x:v>672</x:v>
      </x:c>
      <x:c r="D65" s="102" t="s">
        <x:v>673</x:v>
      </x:c>
      <x:c r="E65" s="102" t="s">
        <x:v>32</x:v>
      </x:c>
      <x:c r="F65" s="101" t="str">
        <x:v>N/A</x:v>
      </x:c>
      <x:c r="G65" s="145"/>
      <x:c r="H65" s="101"/>
      <x:c r="I65" s="152" t="str">
        <x:v>N/A</x:v>
      </x:c>
      <x:c r="J65" s="145"/>
      <x:c r="K65" s="101"/>
      <x:c r="L65" s="101"/>
      <x:c r="M65" s="145"/>
      <x:c r="N65" s="101"/>
      <x:c r="O65" s="155" t="str">
        <x:v>Không áp dụng theo phạm vi SRS hiện tại.</x:v>
      </x:c>
      <x:c r="Q65" s="103"/>
    </x:row>
    <x:row r="66" ht="48" customHeight="1">
      <x:c r="A66" s="101" t="s">
        <x:v>674</x:v>
      </x:c>
      <x:c r="B66" s="37" t="s">
        <x:v>675</x:v>
      </x:c>
      <x:c r="C66" s="37" t="s">
        <x:v>676</x:v>
      </x:c>
      <x:c r="D66" s="102" t="s">
        <x:v>677</x:v>
      </x:c>
      <x:c r="E66" s="102" t="s">
        <x:v>678</x:v>
      </x:c>
      <x:c r="F66" s="101" t="str">
        <x:v>N/A</x:v>
      </x:c>
      <x:c r="G66" s="145"/>
      <x:c r="H66" s="101"/>
      <x:c r="I66" s="152" t="str">
        <x:v>N/A</x:v>
      </x:c>
      <x:c r="J66" s="145"/>
      <x:c r="K66" s="101"/>
      <x:c r="L66" s="101"/>
      <x:c r="M66" s="145"/>
      <x:c r="N66" s="101"/>
      <x:c r="O66" s="155" t="str">
        <x:v>Không áp dụng theo phạm vi SRS hiện tại.</x:v>
      </x:c>
      <x:c r="Q66" s="103"/>
    </x:row>
    <x:row r="67" ht="48" customHeight="1">
      <x:c r="A67" s="101" t="s">
        <x:v>679</x:v>
      </x:c>
      <x:c r="B67" s="37" t="s">
        <x:v>680</x:v>
      </x:c>
      <x:c r="C67" s="37" t="s">
        <x:v>681</x:v>
      </x:c>
      <x:c r="D67" s="102" t="s">
        <x:v>682</x:v>
      </x:c>
      <x:c r="E67" s="102" t="s">
        <x:v>29</x:v>
      </x:c>
      <x:c r="F67" s="101" t="str">
        <x:v>N/A</x:v>
      </x:c>
      <x:c r="G67" s="145"/>
      <x:c r="H67" s="101"/>
      <x:c r="I67" s="152" t="str">
        <x:v>N/A</x:v>
      </x:c>
      <x:c r="J67" s="145"/>
      <x:c r="K67" s="101"/>
      <x:c r="L67" s="101"/>
      <x:c r="M67" s="145"/>
      <x:c r="N67" s="101"/>
      <x:c r="O67" s="155" t="str">
        <x:v>Không áp dụng theo phạm vi SRS hiện tại.</x:v>
      </x:c>
      <x:c r="Q67" s="103"/>
    </x:row>
    <x:row r="68" ht="48" customHeight="1">
      <x:c r="A68" s="101" t="s">
        <x:v>683</x:v>
      </x:c>
      <x:c r="B68" s="37" t="s">
        <x:v>684</x:v>
      </x:c>
      <x:c r="C68" s="37" t="s">
        <x:v>685</x:v>
      </x:c>
      <x:c r="D68" s="102" t="s">
        <x:v>686</x:v>
      </x:c>
      <x:c r="E68" s="102" t="s">
        <x:v>687</x:v>
      </x:c>
      <x:c r="F68" s="101" t="str">
        <x:v>N/A</x:v>
      </x:c>
      <x:c r="G68" s="145"/>
      <x:c r="H68" s="101"/>
      <x:c r="I68" s="152" t="str">
        <x:v>N/A</x:v>
      </x:c>
      <x:c r="J68" s="145"/>
      <x:c r="K68" s="101"/>
      <x:c r="L68" s="101"/>
      <x:c r="M68" s="145"/>
      <x:c r="N68" s="101"/>
      <x:c r="O68" s="155" t="str">
        <x:v>Không áp dụng theo phạm vi SRS hiện tại.</x:v>
      </x:c>
      <x:c r="Q68" s="100"/>
    </x:row>
    <x:row r="69" ht="12.75" customHeight="1">
      <x:c r="A69" s="98" t="s">
        <x:v>87</x:v>
      </x:c>
      <x:c r="B69" s="98"/>
      <x:c r="C69" s="99"/>
      <x:c r="D69" s="99"/>
      <x:c r="E69" s="99"/>
      <x:c r="F69" s="99"/>
      <x:c r="G69" s="144"/>
      <x:c r="H69" s="99"/>
      <x:c r="I69" s="151"/>
      <x:c r="J69" s="144"/>
      <x:c r="K69" s="99"/>
      <x:c r="L69" s="99"/>
      <x:c r="M69" s="144"/>
      <x:c r="N69" s="99"/>
      <x:c r="O69" s="154"/>
      <x:c r="Q69" s="103"/>
    </x:row>
    <x:row r="70" ht="36" customHeight="1">
      <x:c r="A70" s="101" t="s">
        <x:v>688</x:v>
      </x:c>
      <x:c r="B70" s="37" t="s">
        <x:v>689</x:v>
      </x:c>
      <x:c r="C70" s="37" t="s">
        <x:v>690</x:v>
      </x:c>
      <x:c r="D70" s="102" t="s">
        <x:v>691</x:v>
      </x:c>
      <x:c r="E70" s="102" t="s">
        <x:v>692</x:v>
      </x:c>
      <x:c r="F70" s="101" t="str">
        <x:v>N/A</x:v>
      </x:c>
      <x:c r="G70" s="145"/>
      <x:c r="H70" s="101"/>
      <x:c r="I70" s="152" t="str">
        <x:v>N/A</x:v>
      </x:c>
      <x:c r="J70" s="145"/>
      <x:c r="K70" s="101"/>
      <x:c r="L70" s="101"/>
      <x:c r="M70" s="145"/>
      <x:c r="N70" s="101"/>
      <x:c r="O70" s="155" t="str">
        <x:v>Không áp dụng theo phạm vi SRS hiện tại.</x:v>
      </x:c>
    </x:row>
    <x:row r="71" ht="36" customHeight="1">
      <x:c r="A71" s="101" t="s">
        <x:v>693</x:v>
      </x:c>
      <x:c r="B71" s="37" t="s">
        <x:v>694</x:v>
      </x:c>
      <x:c r="C71" s="37" t="s">
        <x:v>695</x:v>
      </x:c>
      <x:c r="D71" s="102" t="s">
        <x:v>696</x:v>
      </x:c>
      <x:c r="E71" s="102" t="s">
        <x:v>29</x:v>
      </x:c>
      <x:c r="F71" s="101" t="str">
        <x:v>N/A</x:v>
      </x:c>
      <x:c r="G71" s="145"/>
      <x:c r="H71" s="101"/>
      <x:c r="I71" s="152" t="str">
        <x:v>N/A</x:v>
      </x:c>
      <x:c r="J71" s="145"/>
      <x:c r="K71" s="101"/>
      <x:c r="L71" s="101"/>
      <x:c r="M71" s="145"/>
      <x:c r="N71" s="101"/>
      <x:c r="O71" s="155" t="str">
        <x:v>Không áp dụng theo phạm vi SRS hiện tại.</x:v>
      </x:c>
      <x:c r="Q71" s="100"/>
    </x:row>
    <x:row r="72" ht="36" customHeight="1">
      <x:c r="A72" s="101" t="s">
        <x:v>697</x:v>
      </x:c>
      <x:c r="B72" s="37" t="s">
        <x:v>698</x:v>
      </x:c>
      <x:c r="C72" s="37" t="s">
        <x:v>699</x:v>
      </x:c>
      <x:c r="D72" s="102" t="s">
        <x:v>700</x:v>
      </x:c>
      <x:c r="E72" s="102" t="s">
        <x:v>701</x:v>
      </x:c>
      <x:c r="F72" s="101" t="str">
        <x:v>N/A</x:v>
      </x:c>
      <x:c r="G72" s="145"/>
      <x:c r="H72" s="101"/>
      <x:c r="I72" s="152" t="str">
        <x:v>N/A</x:v>
      </x:c>
      <x:c r="J72" s="145"/>
      <x:c r="K72" s="101"/>
      <x:c r="L72" s="101"/>
      <x:c r="M72" s="145"/>
      <x:c r="N72" s="101"/>
      <x:c r="O72" s="155" t="str">
        <x:v>Không áp dụng theo phạm vi SRS hiện tại.</x:v>
      </x:c>
      <x:c r="Q72" s="103"/>
    </x:row>
    <x:row r="73" ht="36" customHeight="1">
      <x:c r="A73" s="101" t="s">
        <x:v>702</x:v>
      </x:c>
      <x:c r="B73" s="37" t="s">
        <x:v>703</x:v>
      </x:c>
      <x:c r="C73" s="37" t="s">
        <x:v>704</x:v>
      </x:c>
      <x:c r="D73" s="102" t="s">
        <x:v>705</x:v>
      </x:c>
      <x:c r="E73" s="102" t="s">
        <x:v>32</x:v>
      </x:c>
      <x:c r="F73" s="101" t="str">
        <x:v>N/A</x:v>
      </x:c>
      <x:c r="G73" s="145"/>
      <x:c r="H73" s="101"/>
      <x:c r="I73" s="152" t="str">
        <x:v>N/A</x:v>
      </x:c>
      <x:c r="J73" s="145"/>
      <x:c r="K73" s="101"/>
      <x:c r="L73" s="101"/>
      <x:c r="M73" s="145"/>
      <x:c r="N73" s="101"/>
      <x:c r="O73" s="155" t="str">
        <x:v>Không áp dụng theo phạm vi SRS hiện tại.</x:v>
      </x:c>
    </x:row>
    <x:row r="74" ht="13.149999618530273" customHeight="1">
      <x:c r="G74" s="138"/>
      <x:c r="H74"/>
      <x:c r="I74" s="153"/>
      <x:c r="J74" s="146"/>
      <x:c r="K74"/>
      <x:c r="L74"/>
      <x:c r="M74" s="146"/>
      <x:c r="N74"/>
      <x:c r="O74" s="156"/>
    </x:row>
    <x:row r="75" ht="13.149999618530273" customHeight="1">
      <x:c r="G75" s="138"/>
      <x:c r="H75"/>
      <x:c r="I75" s="153"/>
      <x:c r="J75" s="146"/>
      <x:c r="K75"/>
      <x:c r="L75"/>
      <x:c r="M75" s="146"/>
      <x:c r="N75"/>
      <x:c r="O75" s="156"/>
    </x:row>
    <x:row r="76" ht="13.149999618530273" customHeight="1">
      <x:c r="G76" s="138"/>
      <x:c r="H76"/>
      <x:c r="I76" s="153"/>
      <x:c r="J76" s="146"/>
      <x:c r="K76"/>
      <x:c r="L76"/>
      <x:c r="M76" s="146"/>
      <x:c r="N76"/>
      <x:c r="O76" s="156"/>
    </x:row>
    <x:row r="77" ht="13.149999618530273" customHeight="1">
      <x:c r="G77" s="138"/>
      <x:c r="H77"/>
      <x:c r="I77" s="153"/>
      <x:c r="J77" s="146"/>
      <x:c r="K77"/>
      <x:c r="L77"/>
      <x:c r="M77" s="146"/>
      <x:c r="N77"/>
      <x:c r="O77" s="156"/>
    </x:row>
    <x:row r="78" ht="13.149999618530273" customHeight="1">
      <x:c r="G78" s="138"/>
      <x:c r="H78"/>
      <x:c r="I78" s="153"/>
      <x:c r="J78" s="146"/>
      <x:c r="K78"/>
      <x:c r="L78"/>
      <x:c r="M78" s="146"/>
      <x:c r="N78"/>
      <x:c r="O78" s="156"/>
    </x:row>
    <x:row r="79" ht="13.149999618530273" customHeight="1">
      <x:c r="G79" s="138"/>
      <x:c r="H79"/>
      <x:c r="I79" s="153"/>
      <x:c r="J79" s="146"/>
      <x:c r="K79"/>
      <x:c r="L79"/>
      <x:c r="M79" s="146"/>
      <x:c r="N79"/>
      <x:c r="O79" s="156"/>
    </x:row>
    <x:row r="80" ht="13.149999618530273" customHeight="1">
      <x:c r="G80" s="138"/>
      <x:c r="H80"/>
      <x:c r="I80" s="153"/>
      <x:c r="J80" s="146"/>
      <x:c r="K80"/>
      <x:c r="L80"/>
      <x:c r="M80" s="146"/>
      <x:c r="N80"/>
      <x:c r="O80" s="156"/>
    </x:row>
    <x:row r="81" ht="13.149999618530273" customHeight="1">
      <x:c r="G81" s="138"/>
      <x:c r="H81"/>
      <x:c r="I81" s="153"/>
      <x:c r="J81" s="146"/>
      <x:c r="K81"/>
      <x:c r="L81"/>
      <x:c r="M81" s="146"/>
      <x:c r="N81"/>
      <x:c r="O81" s="156"/>
    </x:row>
    <x:row r="82" ht="13.149999618530273" customHeight="1">
      <x:c r="G82" s="138"/>
      <x:c r="H82"/>
      <x:c r="I82" s="153"/>
      <x:c r="J82" s="146"/>
      <x:c r="K82"/>
      <x:c r="L82"/>
      <x:c r="M82" s="146"/>
      <x:c r="N82"/>
      <x:c r="O82" s="156"/>
    </x:row>
    <x:row r="83" ht="13.149999618530273" customHeight="1">
      <x:c r="G83" s="138"/>
      <x:c r="H83"/>
      <x:c r="I83" s="153"/>
      <x:c r="J83" s="146"/>
      <x:c r="K83"/>
      <x:c r="L83"/>
      <x:c r="M83" s="146"/>
      <x:c r="N83"/>
      <x:c r="O83" s="156"/>
    </x:row>
    <x:row r="84" ht="13.149999618530273" customHeight="1">
      <x:c r="G84" s="138"/>
      <x:c r="H84"/>
      <x:c r="I84" s="153"/>
      <x:c r="J84" s="146"/>
      <x:c r="K84"/>
      <x:c r="L84"/>
      <x:c r="M84" s="146"/>
      <x:c r="N84"/>
      <x:c r="O84" s="156"/>
    </x:row>
    <x:row r="85" ht="13.149999618530273" customHeight="1">
      <x:c r="G85" s="138"/>
      <x:c r="H85"/>
      <x:c r="I85" s="153"/>
      <x:c r="J85" s="146"/>
      <x:c r="K85"/>
      <x:c r="L85"/>
      <x:c r="M85" s="146"/>
      <x:c r="N85"/>
      <x:c r="O85" s="156"/>
    </x:row>
    <x:row r="86" ht="13.149999618530273" customHeight="1">
      <x:c r="G86" s="138"/>
      <x:c r="H86"/>
      <x:c r="I86" s="153"/>
      <x:c r="J86" s="146"/>
      <x:c r="K86"/>
      <x:c r="L86"/>
      <x:c r="M86" s="146"/>
      <x:c r="N86"/>
      <x:c r="O86" s="156"/>
    </x:row>
    <x:row r="87" ht="13.149999618530273" customHeight="1">
      <x:c r="G87" s="138"/>
      <x:c r="H87"/>
      <x:c r="I87" s="153"/>
      <x:c r="J87" s="146"/>
      <x:c r="K87"/>
      <x:c r="L87"/>
      <x:c r="M87" s="146"/>
      <x:c r="N87"/>
      <x:c r="O87" s="156"/>
    </x:row>
    <x:row r="88" ht="13.149999618530273" customHeight="1">
      <x:c r="G88" s="138"/>
      <x:c r="H88"/>
      <x:c r="I88" s="153"/>
      <x:c r="J88" s="146"/>
      <x:c r="K88"/>
      <x:c r="L88"/>
      <x:c r="M88" s="146"/>
      <x:c r="N88"/>
      <x:c r="O88" s="156"/>
    </x:row>
    <x:row r="89" ht="13.149999618530273" customHeight="1">
      <x:c r="G89" s="138"/>
      <x:c r="H89"/>
      <x:c r="I89" s="153"/>
      <x:c r="J89" s="146"/>
      <x:c r="K89"/>
      <x:c r="L89"/>
      <x:c r="M89" s="146"/>
      <x:c r="N89"/>
      <x:c r="O89" s="156"/>
    </x:row>
    <x:row r="90" ht="13.149999618530273" customHeight="1">
      <x:c r="G90" s="138"/>
      <x:c r="H90"/>
      <x:c r="I90" s="153"/>
      <x:c r="J90" s="146"/>
      <x:c r="K90"/>
      <x:c r="L90"/>
      <x:c r="M90" s="146"/>
      <x:c r="N90"/>
      <x:c r="O90" s="156"/>
    </x:row>
    <x:row r="91" ht="13.149999618530273" customHeight="1">
      <x:c r="G91" s="138"/>
      <x:c r="H91"/>
      <x:c r="I91" s="153"/>
      <x:c r="J91" s="146"/>
      <x:c r="K91"/>
      <x:c r="L91"/>
      <x:c r="M91" s="146"/>
      <x:c r="N91"/>
      <x:c r="O91" s="156"/>
    </x:row>
    <x:row r="92" ht="13.149999618530273" customHeight="1">
      <x:c r="G92" s="138"/>
      <x:c r="H92"/>
      <x:c r="I92" s="153"/>
      <x:c r="J92" s="146"/>
      <x:c r="K92"/>
      <x:c r="L92"/>
      <x:c r="M92" s="146"/>
      <x:c r="N92"/>
      <x:c r="O92" s="156"/>
    </x:row>
    <x:row r="93" ht="13.149999618530273" customHeight="1">
      <x:c r="G93" s="138"/>
      <x:c r="H93"/>
      <x:c r="I93" s="153"/>
      <x:c r="J93" s="146"/>
      <x:c r="K93"/>
      <x:c r="L93"/>
      <x:c r="M93" s="146"/>
      <x:c r="N93"/>
      <x:c r="O93" s="156"/>
    </x:row>
    <x:row r="94" ht="13.149999618530273" customHeight="1">
      <x:c r="G94" s="138"/>
      <x:c r="H94"/>
      <x:c r="I94" s="153"/>
      <x:c r="J94" s="146"/>
      <x:c r="K94"/>
      <x:c r="L94"/>
      <x:c r="M94" s="146"/>
      <x:c r="N94"/>
      <x:c r="O94" s="156"/>
    </x:row>
    <x:row r="95" ht="13.149999618530273" customHeight="1">
      <x:c r="G95" s="138"/>
      <x:c r="H95"/>
      <x:c r="I95" s="153"/>
      <x:c r="J95" s="146"/>
      <x:c r="K95"/>
      <x:c r="L95"/>
      <x:c r="M95" s="146"/>
      <x:c r="N95"/>
      <x:c r="O95" s="156"/>
    </x:row>
    <x:row r="96" ht="13.149999618530273" customHeight="1">
      <x:c r="G96" s="138"/>
      <x:c r="H96"/>
      <x:c r="I96" s="153"/>
      <x:c r="J96" s="146"/>
      <x:c r="K96"/>
      <x:c r="L96"/>
      <x:c r="M96" s="146"/>
      <x:c r="N96"/>
      <x:c r="O96" s="156"/>
    </x:row>
    <x:row r="97" ht="13.149999618530273" customHeight="1">
      <x:c r="G97" s="138"/>
      <x:c r="H97"/>
      <x:c r="I97" s="153"/>
      <x:c r="J97" s="146"/>
      <x:c r="K97"/>
      <x:c r="L97"/>
      <x:c r="M97" s="146"/>
      <x:c r="N97"/>
      <x:c r="O97" s="156"/>
    </x:row>
    <x:row r="98" ht="13.149999618530273" customHeight="1">
      <x:c r="G98" s="138"/>
      <x:c r="H98"/>
      <x:c r="I98" s="153"/>
      <x:c r="J98" s="146"/>
      <x:c r="K98"/>
      <x:c r="L98"/>
      <x:c r="M98" s="146"/>
      <x:c r="N98"/>
      <x:c r="O98" s="156"/>
    </x:row>
    <x:row r="99" ht="13.149999618530273" customHeight="1">
      <x:c r="G99" s="138"/>
      <x:c r="H99"/>
      <x:c r="I99" s="153"/>
      <x:c r="J99" s="146"/>
      <x:c r="K99"/>
      <x:c r="L99"/>
      <x:c r="M99" s="146"/>
      <x:c r="N99"/>
      <x:c r="O99" s="156"/>
    </x:row>
    <x:row r="100" ht="13.149999618530273" customHeight="1">
      <x:c r="G100" s="138"/>
      <x:c r="H100"/>
      <x:c r="I100" s="153"/>
      <x:c r="J100" s="146"/>
      <x:c r="K100"/>
      <x:c r="L100"/>
      <x:c r="M100" s="146"/>
      <x:c r="N100"/>
      <x:c r="O100" s="156"/>
    </x:row>
  </x:sheetData>
  <x:mergeCells>
    <x:mergeCell ref="B3:E3"/>
    <x:mergeCell ref="B2:E2"/>
    <x:mergeCell ref="B4:E4"/>
  </x:mergeCells>
  <x:dataValidations count="1">
    <x:dataValidation type="list" allowBlank="1" sqref="F11:F123 I11:I123 L11:L123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1be63b6599ba4367"/>
</x:worksheet>
</file>

<file path=xl/worksheets/sheet7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52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706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21" customHeight="1">
      <x:c r="A3" s="83" t="s">
        <x:v>111</x:v>
      </x:c>
      <x:c r="B3" s="133" t="s">
        <x:v>707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13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5</x:v>
      </x:c>
      <x:c r="C6" s="90" t="n">
        <x:v>8</x:v>
      </x:c>
      <x:c r="D6" s="90" t="n">
        <x:v>0</x:v>
      </x:c>
      <x:c r="E6" s="91" t="n">
        <x:v>0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 t="str">
        <x:v>Round 2</x:v>
      </x:c>
      <x:c r="B7" s="90" t="n">
        <x:v>4</x:v>
      </x:c>
      <x:c r="C7" s="90" t="n">
        <x:v>7</x:v>
      </x:c>
      <x:c r="D7" s="90" t="n">
        <x:v>2</x:v>
      </x:c>
      <x:c r="E7" s="91" t="n">
        <x:v>0</x:v>
      </x:c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149" t="str">
        <x:v>Round 2</x:v>
      </x:c>
      <x:c r="J10" s="150" t="str">
        <x:v>Test date</x:v>
      </x:c>
      <x:c r="K10" s="149" t="str">
        <x:v>Tester</x:v>
      </x:c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89</x:v>
      </x:c>
      <x:c r="B11" s="98"/>
      <x:c r="C11" s="99"/>
      <x:c r="D11" s="99"/>
      <x:c r="E11" s="99"/>
      <x:c r="F11" s="99"/>
      <x:c r="G11" s="144"/>
      <x:c r="H11" s="99"/>
      <x:c r="I11" s="151"/>
      <x:c r="J11" s="144"/>
      <x:c r="K11" s="99"/>
      <x:c r="L11" s="99"/>
      <x:c r="M11" s="144"/>
      <x:c r="N11" s="99"/>
      <x:c r="O11" s="154"/>
      <x:c r="Q11" s="100"/>
    </x:row>
    <x:row r="12" ht="132" customHeight="1">
      <x:c r="A12" s="101" t="s">
        <x:v>708</x:v>
      </x:c>
      <x:c r="B12" s="37" t="s">
        <x:v>709</x:v>
      </x:c>
      <x:c r="C12" s="37" t="s">
        <x:v>710</x:v>
      </x:c>
      <x:c r="D12" s="102" t="s">
        <x:v>711</x:v>
      </x:c>
      <x:c r="E12" s="102" t="s">
        <x:v>712</x:v>
      </x:c>
      <x:c r="F12" s="101" t="str">
        <x:v>Passed</x:v>
      </x:c>
      <x:c r="G12" s="145" t="n">
        <x:v>46323</x:v>
      </x:c>
      <x:c r="H12" s="101" t="str">
        <x:v>Minh Trí</x:v>
      </x:c>
      <x:c r="I12" s="152" t="str">
        <x:v>Failed</x:v>
      </x:c>
      <x:c r="J12" s="145" t="n">
        <x:v>46325</x:v>
      </x:c>
      <x:c r="K12" s="101" t="str">
        <x:v>Minh Trí</x:v>
      </x:c>
      <x:c r="L12" s="101"/>
      <x:c r="M12" s="145"/>
      <x:c r="N12" s="101"/>
      <x:c r="O12" s="155" t="str">
        <x:v>Round 2: chưa đạt; xem collection log tương ứng trong outputs/pbl6-round2/logs.</x:v>
      </x:c>
      <x:c r="Q12" s="103"/>
    </x:row>
    <x:row r="13" ht="84" customHeight="1">
      <x:c r="A13" s="101" t="s">
        <x:v>713</x:v>
      </x:c>
      <x:c r="B13" s="37" t="s">
        <x:v>714</x:v>
      </x:c>
      <x:c r="C13" s="37" t="s">
        <x:v>715</x:v>
      </x:c>
      <x:c r="D13" s="102" t="s">
        <x:v>716</x:v>
      </x:c>
      <x:c r="E13" s="102" t="s">
        <x:v>585</x:v>
      </x:c>
      <x:c r="F13" s="101" t="str">
        <x:v>Passed</x:v>
      </x:c>
      <x:c r="G13" s="145" t="n">
        <x:v>46323</x:v>
      </x:c>
      <x:c r="H13" s="101" t="str">
        <x:v>Minh Trí</x:v>
      </x:c>
      <x:c r="I13" s="152" t="str">
        <x:v>Passed</x:v>
      </x:c>
      <x:c r="J13" s="145" t="n">
        <x:v>46325</x:v>
      </x:c>
      <x:c r="K13" s="101" t="str">
        <x:v>Minh Trí</x:v>
      </x:c>
      <x:c r="L13" s="101"/>
      <x:c r="M13" s="145"/>
      <x:c r="N13" s="101"/>
      <x:c r="O13" s="155" t="str">
        <x:v>Round 2: đạt; có bằng chứng trong Postman log/JUnit.</x:v>
      </x:c>
      <x:c r="Q13" s="103"/>
    </x:row>
    <x:row r="14" ht="132" customHeight="1">
      <x:c r="A14" s="101" t="s">
        <x:v>717</x:v>
      </x:c>
      <x:c r="B14" s="37" t="s">
        <x:v>718</x:v>
      </x:c>
      <x:c r="C14" s="37" t="s">
        <x:v>719</x:v>
      </x:c>
      <x:c r="D14" s="102" t="s">
        <x:v>720</x:v>
      </x:c>
      <x:c r="E14" s="102" t="s">
        <x:v>721</x:v>
      </x:c>
      <x:c r="F14" s="101" t="str">
        <x:v>Failed</x:v>
      </x:c>
      <x:c r="G14" s="145" t="n">
        <x:v>46323</x:v>
      </x:c>
      <x:c r="H14" s="101" t="str">
        <x:v>Minh Trí</x:v>
      </x:c>
      <x:c r="I14" s="152" t="str">
        <x:v>Failed</x:v>
      </x:c>
      <x:c r="J14" s="145" t="n">
        <x:v>46325</x:v>
      </x:c>
      <x:c r="K14" s="101" t="str">
        <x:v>Minh Trí</x:v>
      </x:c>
      <x:c r="L14" s="101"/>
      <x:c r="M14" s="145"/>
      <x:c r="N14" s="101"/>
      <x:c r="O14" s="155" t="str">
        <x:v>Round 2: chưa đạt; xem collection log tương ứng trong outputs/pbl6-round2/logs.</x:v>
      </x:c>
      <x:c r="Q14" s="103"/>
    </x:row>
    <x:row r="15" ht="72" customHeight="1">
      <x:c r="A15" s="101" t="s">
        <x:v>722</x:v>
      </x:c>
      <x:c r="B15" s="37" t="s">
        <x:v>723</x:v>
      </x:c>
      <x:c r="C15" s="37" t="s">
        <x:v>724</x:v>
      </x:c>
      <x:c r="D15" s="102" t="s">
        <x:v>725</x:v>
      </x:c>
      <x:c r="E15" s="102" t="s">
        <x:v>726</x:v>
      </x:c>
      <x:c r="F15" s="101" t="str">
        <x:v>Failed</x:v>
      </x:c>
      <x:c r="G15" s="145" t="n">
        <x:v>46323</x:v>
      </x:c>
      <x:c r="H15" s="101" t="str">
        <x:v>Minh Trí</x:v>
      </x:c>
      <x:c r="I15" s="152" t="str">
        <x:v>Passed</x:v>
      </x:c>
      <x:c r="J15" s="145" t="n">
        <x:v>46325</x:v>
      </x:c>
      <x:c r="K15" s="101" t="str">
        <x:v>Minh Trí</x:v>
      </x:c>
      <x:c r="L15" s="101"/>
      <x:c r="M15" s="145"/>
      <x:c r="N15" s="101"/>
      <x:c r="O15" s="155" t="str">
        <x:v>Round 2: đạt; có bằng chứng trong Postman log/JUnit.</x:v>
      </x:c>
      <x:c r="Q15" s="100"/>
    </x:row>
    <x:row r="16" ht="12.75" customHeight="1">
      <x:c r="A16" s="98" t="s">
        <x:v>92</x:v>
      </x:c>
      <x:c r="B16" s="98"/>
      <x:c r="C16" s="99"/>
      <x:c r="D16" s="99"/>
      <x:c r="E16" s="99"/>
      <x:c r="F16" s="99"/>
      <x:c r="G16" s="144"/>
      <x:c r="H16" s="99"/>
      <x:c r="I16" s="151"/>
      <x:c r="J16" s="144"/>
      <x:c r="K16" s="99"/>
      <x:c r="L16" s="99"/>
      <x:c r="M16" s="144"/>
      <x:c r="N16" s="99"/>
      <x:c r="O16" s="154"/>
      <x:c r="Q16" s="103"/>
    </x:row>
    <x:row r="17" ht="132" customHeight="1">
      <x:c r="A17" s="101" t="s">
        <x:v>727</x:v>
      </x:c>
      <x:c r="B17" s="37" t="s">
        <x:v>728</x:v>
      </x:c>
      <x:c r="C17" s="37" t="s">
        <x:v>729</x:v>
      </x:c>
      <x:c r="D17" s="102" t="s">
        <x:v>730</x:v>
      </x:c>
      <x:c r="E17" s="102" t="s">
        <x:v>731</x:v>
      </x:c>
      <x:c r="F17" s="101" t="str">
        <x:v>Failed</x:v>
      </x:c>
      <x:c r="G17" s="145" t="n">
        <x:v>46323</x:v>
      </x:c>
      <x:c r="H17" s="101" t="str">
        <x:v>Minh Trí</x:v>
      </x:c>
      <x:c r="I17" s="152" t="str">
        <x:v>Failed</x:v>
      </x:c>
      <x:c r="J17" s="145" t="n">
        <x:v>46325</x:v>
      </x:c>
      <x:c r="K17" s="101" t="str">
        <x:v>Minh Trí</x:v>
      </x:c>
      <x:c r="L17" s="101"/>
      <x:c r="M17" s="145"/>
      <x:c r="N17" s="101"/>
      <x:c r="O17" s="155" t="str">
        <x:v>Round 2: chưa đạt; xem collection log tương ứng trong outputs/pbl6-round2/logs.</x:v>
      </x:c>
    </x:row>
    <x:row r="18" ht="132" customHeight="1">
      <x:c r="A18" s="101" t="s">
        <x:v>732</x:v>
      </x:c>
      <x:c r="B18" s="37" t="s">
        <x:v>733</x:v>
      </x:c>
      <x:c r="C18" s="37" t="s">
        <x:v>734</x:v>
      </x:c>
      <x:c r="D18" s="102" t="s">
        <x:v>735</x:v>
      </x:c>
      <x:c r="E18" s="102" t="s">
        <x:v>731</x:v>
      </x:c>
      <x:c r="F18" s="101" t="str">
        <x:v>Passed</x:v>
      </x:c>
      <x:c r="G18" s="145" t="n">
        <x:v>46323</x:v>
      </x:c>
      <x:c r="H18" s="101" t="str">
        <x:v>Minh Trí</x:v>
      </x:c>
      <x:c r="I18" s="152" t="str">
        <x:v>Pending</x:v>
      </x:c>
      <x:c r="J18" s="145"/>
      <x:c r="K18" s="101"/>
      <x:c r="L18" s="101"/>
      <x:c r="M18" s="145"/>
      <x:c r="N18" s="101"/>
      <x:c r="O18" s="155" t="str">
        <x:v>Chưa có assertion Round 2 ánh xạ trực tiếp tới test case này.</x:v>
      </x:c>
      <x:c r="Q18" s="100"/>
    </x:row>
    <x:row r="19" ht="132" customHeight="1">
      <x:c r="A19" s="101" t="s">
        <x:v>736</x:v>
      </x:c>
      <x:c r="B19" s="37" t="s">
        <x:v>737</x:v>
      </x:c>
      <x:c r="C19" s="37" t="s">
        <x:v>738</x:v>
      </x:c>
      <x:c r="D19" s="102" t="s">
        <x:v>739</x:v>
      </x:c>
      <x:c r="E19" s="102" t="s">
        <x:v>731</x:v>
      </x:c>
      <x:c r="F19" s="101" t="str">
        <x:v>Passed</x:v>
      </x:c>
      <x:c r="G19" s="145" t="n">
        <x:v>46323</x:v>
      </x:c>
      <x:c r="H19" s="101" t="str">
        <x:v>Minh Trí</x:v>
      </x:c>
      <x:c r="I19" s="152" t="str">
        <x:v>Passed</x:v>
      </x:c>
      <x:c r="J19" s="145" t="n">
        <x:v>46325</x:v>
      </x:c>
      <x:c r="K19" s="101" t="str">
        <x:v>Minh Trí</x:v>
      </x:c>
      <x:c r="L19" s="101"/>
      <x:c r="M19" s="145"/>
      <x:c r="N19" s="101"/>
      <x:c r="O19" s="155" t="str">
        <x:v>Round 2: đạt; có bằng chứng trong Postman log/JUnit.</x:v>
      </x:c>
      <x:c r="Q19" s="103"/>
    </x:row>
    <x:row r="20" ht="144" customHeight="1">
      <x:c r="A20" s="101" t="s">
        <x:v>740</x:v>
      </x:c>
      <x:c r="B20" s="37" t="s">
        <x:v>741</x:v>
      </x:c>
      <x:c r="C20" s="37" t="s">
        <x:v>742</x:v>
      </x:c>
      <x:c r="D20" s="102" t="s">
        <x:v>743</x:v>
      </x:c>
      <x:c r="E20" s="102" t="s">
        <x:v>731</x:v>
      </x:c>
      <x:c r="F20" s="101" t="str">
        <x:v>Failed</x:v>
      </x:c>
      <x:c r="G20" s="145" t="n">
        <x:v>46323</x:v>
      </x:c>
      <x:c r="H20" s="101" t="str">
        <x:v>Minh Trí</x:v>
      </x:c>
      <x:c r="I20" s="152" t="str">
        <x:v>Failed</x:v>
      </x:c>
      <x:c r="J20" s="145" t="n">
        <x:v>46325</x:v>
      </x:c>
      <x:c r="K20" s="101" t="str">
        <x:v>Minh Trí</x:v>
      </x:c>
      <x:c r="L20" s="101"/>
      <x:c r="M20" s="145"/>
      <x:c r="N20" s="101"/>
      <x:c r="O20" s="155" t="str">
        <x:v>Round 2: chưa đạt; xem collection log tương ứng trong outputs/pbl6-round2/logs.</x:v>
      </x:c>
    </x:row>
    <x:row r="21" ht="132" customHeight="1">
      <x:c r="A21" s="101" t="s">
        <x:v>744</x:v>
      </x:c>
      <x:c r="B21" s="37" t="s">
        <x:v>745</x:v>
      </x:c>
      <x:c r="C21" s="37" t="s">
        <x:v>746</x:v>
      </x:c>
      <x:c r="D21" s="102" t="s">
        <x:v>747</x:v>
      </x:c>
      <x:c r="E21" s="102" t="s">
        <x:v>731</x:v>
      </x:c>
      <x:c r="F21" s="101" t="str">
        <x:v>Passed</x:v>
      </x:c>
      <x:c r="G21" s="145" t="n">
        <x:v>46323</x:v>
      </x:c>
      <x:c r="H21" s="101" t="str">
        <x:v>Minh Trí</x:v>
      </x:c>
      <x:c r="I21" s="152" t="str">
        <x:v>Failed</x:v>
      </x:c>
      <x:c r="J21" s="145" t="n">
        <x:v>46325</x:v>
      </x:c>
      <x:c r="K21" s="101" t="str">
        <x:v>Minh Trí</x:v>
      </x:c>
      <x:c r="L21" s="101"/>
      <x:c r="M21" s="145"/>
      <x:c r="N21" s="101"/>
      <x:c r="O21" s="155" t="str">
        <x:v>Round 2: chưa đạt; xem collection log tương ứng trong outputs/pbl6-round2/logs.</x:v>
      </x:c>
    </x:row>
    <x:row r="22" ht="60" customHeight="1">
      <x:c r="A22" s="101" t="s">
        <x:v>748</x:v>
      </x:c>
      <x:c r="B22" s="37" t="s">
        <x:v>749</x:v>
      </x:c>
      <x:c r="C22" s="37" t="s">
        <x:v>750</x:v>
      </x:c>
      <x:c r="D22" s="102" t="s">
        <x:v>751</x:v>
      </x:c>
      <x:c r="E22" s="102" t="s">
        <x:v>752</x:v>
      </x:c>
      <x:c r="F22" s="101" t="str">
        <x:v>Failed</x:v>
      </x:c>
      <x:c r="G22" s="145" t="n">
        <x:v>46323</x:v>
      </x:c>
      <x:c r="H22" s="101" t="str">
        <x:v>Minh Trí</x:v>
      </x:c>
      <x:c r="I22" s="152" t="str">
        <x:v>Pending</x:v>
      </x:c>
      <x:c r="J22" s="145"/>
      <x:c r="K22" s="101"/>
      <x:c r="L22" s="101"/>
      <x:c r="M22" s="145"/>
      <x:c r="N22" s="101"/>
      <x:c r="O22" s="155" t="str">
        <x:v>Chưa có assertion Round 2 ánh xạ trực tiếp tới test case này.</x:v>
      </x:c>
    </x:row>
    <x:row r="23" ht="168" customHeight="1">
      <x:c r="A23" s="101" t="s">
        <x:v>753</x:v>
      </x:c>
      <x:c r="B23" s="37" t="s">
        <x:v>754</x:v>
      </x:c>
      <x:c r="C23" s="37" t="s">
        <x:v>755</x:v>
      </x:c>
      <x:c r="D23" s="102" t="s">
        <x:v>756</x:v>
      </x:c>
      <x:c r="E23" s="102" t="s">
        <x:v>731</x:v>
      </x:c>
      <x:c r="F23" s="101" t="str">
        <x:v>Failed</x:v>
      </x:c>
      <x:c r="G23" s="145" t="n">
        <x:v>46323</x:v>
      </x:c>
      <x:c r="H23" s="101" t="str">
        <x:v>Minh Trí</x:v>
      </x:c>
      <x:c r="I23" s="152" t="str">
        <x:v>Passed</x:v>
      </x:c>
      <x:c r="J23" s="145" t="n">
        <x:v>46325</x:v>
      </x:c>
      <x:c r="K23" s="101" t="str">
        <x:v>Minh Trí</x:v>
      </x:c>
      <x:c r="L23" s="101"/>
      <x:c r="M23" s="145"/>
      <x:c r="N23" s="101"/>
      <x:c r="O23" s="155" t="str">
        <x:v>Round 2: đạt; có bằng chứng trong Postman log/JUnit.</x:v>
      </x:c>
    </x:row>
    <x:row r="24" ht="12.75" customHeight="1">
      <x:c r="A24" s="98" t="s">
        <x:v>95</x:v>
      </x:c>
      <x:c r="B24" s="98"/>
      <x:c r="C24" s="99"/>
      <x:c r="D24" s="99"/>
      <x:c r="E24" s="99"/>
      <x:c r="F24" s="99"/>
      <x:c r="G24" s="144"/>
      <x:c r="H24" s="99"/>
      <x:c r="I24" s="151"/>
      <x:c r="J24" s="144"/>
      <x:c r="K24" s="99"/>
      <x:c r="L24" s="99"/>
      <x:c r="M24" s="144"/>
      <x:c r="N24" s="99"/>
      <x:c r="O24" s="154"/>
    </x:row>
    <x:row r="25" ht="132" customHeight="1">
      <x:c r="A25" s="101" t="s">
        <x:v>757</x:v>
      </x:c>
      <x:c r="B25" s="37" t="s">
        <x:v>758</x:v>
      </x:c>
      <x:c r="C25" s="37" t="s">
        <x:v>759</x:v>
      </x:c>
      <x:c r="D25" s="102" t="s">
        <x:v>760</x:v>
      </x:c>
      <x:c r="E25" s="102" t="s">
        <x:v>761</x:v>
      </x:c>
      <x:c r="F25" s="101" t="str">
        <x:v>Failed</x:v>
      </x:c>
      <x:c r="G25" s="145" t="n">
        <x:v>46323</x:v>
      </x:c>
      <x:c r="H25" s="101" t="str">
        <x:v>Minh Trí</x:v>
      </x:c>
      <x:c r="I25" s="152" t="str">
        <x:v>Failed</x:v>
      </x:c>
      <x:c r="J25" s="145" t="n">
        <x:v>46325</x:v>
      </x:c>
      <x:c r="K25" s="101" t="str">
        <x:v>Minh Trí</x:v>
      </x:c>
      <x:c r="L25" s="101"/>
      <x:c r="M25" s="145"/>
      <x:c r="N25" s="101"/>
      <x:c r="O25" s="155" t="str">
        <x:v>Round 2: chưa đạt; xem collection log tương ứng trong outputs/pbl6-round2/logs.</x:v>
      </x:c>
    </x:row>
    <x:row r="26" ht="120" customHeight="1">
      <x:c r="A26" s="101" t="s">
        <x:v>762</x:v>
      </x:c>
      <x:c r="B26" s="37" t="s">
        <x:v>763</x:v>
      </x:c>
      <x:c r="C26" s="37" t="s">
        <x:v>764</x:v>
      </x:c>
      <x:c r="D26" s="102" t="s">
        <x:v>765</x:v>
      </x:c>
      <x:c r="E26" s="102" t="s">
        <x:v>576</x:v>
      </x:c>
      <x:c r="F26" s="101" t="str">
        <x:v>Failed</x:v>
      </x:c>
      <x:c r="G26" s="145" t="n">
        <x:v>46323</x:v>
      </x:c>
      <x:c r="H26" s="101" t="str">
        <x:v>Minh Trí</x:v>
      </x:c>
      <x:c r="I26" s="152" t="str">
        <x:v>Failed</x:v>
      </x:c>
      <x:c r="J26" s="145" t="n">
        <x:v>46325</x:v>
      </x:c>
      <x:c r="K26" s="101" t="str">
        <x:v>Minh Trí</x:v>
      </x:c>
      <x:c r="L26" s="101"/>
      <x:c r="M26" s="145"/>
      <x:c r="N26" s="101"/>
      <x:c r="O26" s="155" t="str">
        <x:v>Round 2: chưa đạt; xem collection log tương ứng trong outputs/pbl6-round2/logs.</x:v>
      </x:c>
    </x:row>
    <x:row r="27" ht="13.149999618530273" customHeight="1">
      <x:c r="G27" s="138"/>
      <x:c r="H27"/>
      <x:c r="I27" s="153"/>
      <x:c r="J27" s="146"/>
      <x:c r="K27"/>
      <x:c r="L27"/>
      <x:c r="M27" s="146"/>
      <x:c r="N27"/>
      <x:c r="O27" s="156"/>
    </x:row>
    <x:row r="28" ht="13.149999618530273" customHeight="1">
      <x:c r="G28" s="138"/>
      <x:c r="H28"/>
      <x:c r="I28" s="153"/>
      <x:c r="J28" s="146"/>
      <x:c r="K28"/>
      <x:c r="L28"/>
      <x:c r="M28" s="146"/>
      <x:c r="N28"/>
      <x:c r="O28" s="156"/>
    </x:row>
    <x:row r="29" ht="13.149999618530273" customHeight="1">
      <x:c r="G29" s="138"/>
      <x:c r="H29"/>
      <x:c r="I29" s="153"/>
      <x:c r="J29" s="146"/>
      <x:c r="K29"/>
      <x:c r="L29"/>
      <x:c r="M29" s="146"/>
      <x:c r="N29"/>
      <x:c r="O29" s="156"/>
    </x:row>
    <x:row r="30" ht="13.149999618530273" customHeight="1">
      <x:c r="G30" s="138"/>
      <x:c r="H30"/>
      <x:c r="I30" s="153"/>
      <x:c r="J30" s="146"/>
      <x:c r="K30"/>
      <x:c r="L30"/>
      <x:c r="M30" s="146"/>
      <x:c r="N30"/>
      <x:c r="O30" s="156"/>
    </x:row>
    <x:row r="31" ht="13.149999618530273" customHeight="1">
      <x:c r="G31" s="138"/>
      <x:c r="H31"/>
      <x:c r="I31" s="153"/>
      <x:c r="J31" s="146"/>
      <x:c r="K31"/>
      <x:c r="L31"/>
      <x:c r="M31" s="146"/>
      <x:c r="N31"/>
      <x:c r="O31" s="156"/>
    </x:row>
    <x:row r="32" ht="13.149999618530273" customHeight="1">
      <x:c r="G32" s="138"/>
      <x:c r="H32"/>
      <x:c r="I32" s="153"/>
      <x:c r="J32" s="146"/>
      <x:c r="K32"/>
      <x:c r="L32"/>
      <x:c r="M32" s="146"/>
      <x:c r="N32"/>
      <x:c r="O32" s="156"/>
    </x:row>
    <x:row r="33" ht="13.149999618530273" customHeight="1">
      <x:c r="G33" s="138"/>
      <x:c r="H33"/>
      <x:c r="I33" s="153"/>
      <x:c r="J33" s="146"/>
      <x:c r="K33"/>
      <x:c r="L33"/>
      <x:c r="M33" s="146"/>
      <x:c r="N33"/>
      <x:c r="O33" s="156"/>
    </x:row>
    <x:row r="34" ht="13.149999618530273" customHeight="1">
      <x:c r="G34" s="138"/>
      <x:c r="H34"/>
      <x:c r="I34" s="153"/>
      <x:c r="J34" s="146"/>
      <x:c r="K34"/>
      <x:c r="L34"/>
      <x:c r="M34" s="146"/>
      <x:c r="N34"/>
      <x:c r="O34" s="156"/>
    </x:row>
    <x:row r="35" ht="13.149999618530273" customHeight="1">
      <x:c r="G35" s="138"/>
      <x:c r="H35"/>
      <x:c r="I35" s="153"/>
      <x:c r="J35" s="146"/>
      <x:c r="K35"/>
      <x:c r="L35"/>
      <x:c r="M35" s="146"/>
      <x:c r="N35"/>
      <x:c r="O35" s="156"/>
    </x:row>
    <x:row r="36" ht="13.149999618530273" customHeight="1">
      <x:c r="G36" s="138"/>
      <x:c r="H36"/>
      <x:c r="I36" s="153"/>
      <x:c r="J36" s="146"/>
      <x:c r="K36"/>
      <x:c r="L36"/>
      <x:c r="M36" s="146"/>
      <x:c r="N36"/>
      <x:c r="O36" s="156"/>
    </x:row>
    <x:row r="37" ht="13.149999618530273" customHeight="1">
      <x:c r="G37" s="138"/>
      <x:c r="H37"/>
      <x:c r="I37" s="153"/>
      <x:c r="J37" s="146"/>
      <x:c r="K37"/>
      <x:c r="L37"/>
      <x:c r="M37" s="146"/>
      <x:c r="N37"/>
      <x:c r="O37" s="156"/>
    </x:row>
    <x:row r="38" ht="13.149999618530273" customHeight="1">
      <x:c r="G38" s="138"/>
      <x:c r="H38"/>
      <x:c r="I38" s="153"/>
      <x:c r="J38" s="146"/>
      <x:c r="K38"/>
      <x:c r="L38"/>
      <x:c r="M38" s="146"/>
      <x:c r="N38"/>
      <x:c r="O38" s="156"/>
    </x:row>
    <x:row r="39" ht="13.149999618530273" customHeight="1">
      <x:c r="G39" s="138"/>
      <x:c r="H39"/>
      <x:c r="I39" s="153"/>
      <x:c r="J39" s="146"/>
      <x:c r="K39"/>
      <x:c r="L39"/>
      <x:c r="M39" s="146"/>
      <x:c r="N39"/>
      <x:c r="O39" s="156"/>
    </x:row>
    <x:row r="40" ht="13.149999618530273" customHeight="1">
      <x:c r="G40" s="138"/>
      <x:c r="H40"/>
      <x:c r="I40" s="153"/>
      <x:c r="J40" s="146"/>
      <x:c r="K40"/>
      <x:c r="L40"/>
      <x:c r="M40" s="146"/>
      <x:c r="N40"/>
      <x:c r="O40" s="156"/>
    </x:row>
    <x:row r="41" ht="13.149999618530273" customHeight="1">
      <x:c r="G41" s="138"/>
      <x:c r="H41"/>
      <x:c r="I41" s="153"/>
      <x:c r="J41" s="146"/>
      <x:c r="K41"/>
      <x:c r="L41"/>
      <x:c r="M41" s="146"/>
      <x:c r="N41"/>
      <x:c r="O41" s="156"/>
    </x:row>
    <x:row r="42" ht="13.149999618530273" customHeight="1">
      <x:c r="G42" s="138"/>
      <x:c r="H42"/>
      <x:c r="I42" s="153"/>
      <x:c r="J42" s="146"/>
      <x:c r="K42"/>
      <x:c r="L42"/>
      <x:c r="M42" s="146"/>
      <x:c r="N42"/>
      <x:c r="O42" s="156"/>
    </x:row>
    <x:row r="43" ht="13.149999618530273" customHeight="1">
      <x:c r="G43" s="138"/>
      <x:c r="H43"/>
      <x:c r="I43" s="153"/>
      <x:c r="J43" s="146"/>
      <x:c r="K43"/>
      <x:c r="L43"/>
      <x:c r="M43" s="146"/>
      <x:c r="N43"/>
      <x:c r="O43" s="156"/>
    </x:row>
    <x:row r="44" ht="13.149999618530273" customHeight="1">
      <x:c r="G44" s="138"/>
      <x:c r="H44"/>
      <x:c r="I44" s="153"/>
      <x:c r="J44" s="146"/>
      <x:c r="K44"/>
      <x:c r="L44"/>
      <x:c r="M44" s="146"/>
      <x:c r="N44"/>
      <x:c r="O44" s="156"/>
    </x:row>
    <x:row r="45" ht="13.149999618530273" customHeight="1">
      <x:c r="G45" s="138"/>
      <x:c r="H45"/>
      <x:c r="I45" s="153"/>
      <x:c r="J45" s="146"/>
      <x:c r="K45"/>
      <x:c r="L45"/>
      <x:c r="M45" s="146"/>
      <x:c r="N45"/>
      <x:c r="O45" s="156"/>
    </x:row>
    <x:row r="46" ht="13.149999618530273" customHeight="1">
      <x:c r="G46" s="138"/>
      <x:c r="H46"/>
      <x:c r="I46" s="153"/>
      <x:c r="J46" s="146"/>
      <x:c r="K46"/>
      <x:c r="L46"/>
      <x:c r="M46" s="146"/>
      <x:c r="N46"/>
      <x:c r="O46" s="156"/>
    </x:row>
    <x:row r="47" ht="13.149999618530273" customHeight="1">
      <x:c r="G47" s="138"/>
      <x:c r="H47"/>
      <x:c r="I47" s="153"/>
      <x:c r="J47" s="146"/>
      <x:c r="K47"/>
      <x:c r="L47"/>
      <x:c r="M47" s="146"/>
      <x:c r="N47"/>
      <x:c r="O47" s="156"/>
    </x:row>
    <x:row r="48" ht="13.149999618530273" customHeight="1">
      <x:c r="G48" s="138"/>
      <x:c r="H48"/>
      <x:c r="I48" s="153"/>
      <x:c r="J48" s="146"/>
      <x:c r="K48"/>
      <x:c r="L48"/>
      <x:c r="M48" s="146"/>
      <x:c r="N48"/>
      <x:c r="O48" s="156"/>
    </x:row>
    <x:row r="49" ht="13.149999618530273" customHeight="1">
      <x:c r="G49" s="138"/>
      <x:c r="H49"/>
      <x:c r="I49" s="153"/>
      <x:c r="J49" s="146"/>
      <x:c r="K49"/>
      <x:c r="L49"/>
      <x:c r="M49" s="146"/>
      <x:c r="N49"/>
      <x:c r="O49" s="156"/>
    </x:row>
    <x:row r="50" ht="13.149999618530273" customHeight="1">
      <x:c r="G50" s="138"/>
      <x:c r="H50"/>
      <x:c r="I50" s="153"/>
      <x:c r="J50" s="146"/>
      <x:c r="K50"/>
      <x:c r="L50"/>
      <x:c r="M50" s="146"/>
      <x:c r="N50"/>
      <x:c r="O50" s="156"/>
    </x:row>
    <x:row r="51" ht="13.149999618530273" customHeight="1">
      <x:c r="G51" s="138"/>
      <x:c r="H51"/>
      <x:c r="I51" s="153"/>
      <x:c r="J51" s="146"/>
      <x:c r="K51"/>
      <x:c r="L51"/>
      <x:c r="M51" s="146"/>
      <x:c r="N51"/>
      <x:c r="O51" s="156"/>
    </x:row>
    <x:row r="52" ht="13.149999618530273" customHeight="1">
      <x:c r="G52" s="138"/>
      <x:c r="H52"/>
      <x:c r="I52" s="153"/>
      <x:c r="J52" s="146"/>
      <x:c r="K52"/>
      <x:c r="L52"/>
      <x:c r="M52" s="146"/>
      <x:c r="N52"/>
      <x:c r="O52" s="156"/>
    </x:row>
    <x:row r="53" ht="13.149999618530273" customHeight="1">
      <x:c r="G53" s="138"/>
      <x:c r="H53"/>
      <x:c r="I53" s="153"/>
      <x:c r="J53" s="146"/>
      <x:c r="K53"/>
      <x:c r="L53"/>
      <x:c r="M53" s="146"/>
      <x:c r="N53"/>
      <x:c r="O53" s="156"/>
    </x:row>
    <x:row r="54" ht="13.149999618530273" customHeight="1">
      <x:c r="G54" s="138"/>
      <x:c r="H54"/>
      <x:c r="I54" s="153"/>
      <x:c r="J54" s="146"/>
      <x:c r="K54"/>
      <x:c r="L54"/>
      <x:c r="M54" s="146"/>
      <x:c r="N54"/>
      <x:c r="O54" s="156"/>
    </x:row>
    <x:row r="55" ht="13.149999618530273" customHeight="1">
      <x:c r="G55" s="138"/>
      <x:c r="H55"/>
      <x:c r="I55" s="153"/>
      <x:c r="J55" s="146"/>
      <x:c r="K55"/>
      <x:c r="L55"/>
      <x:c r="M55" s="146"/>
      <x:c r="N55"/>
      <x:c r="O55" s="156"/>
    </x:row>
    <x:row r="56" ht="13.149999618530273" customHeight="1">
      <x:c r="G56" s="138"/>
      <x:c r="H56"/>
      <x:c r="I56" s="153"/>
      <x:c r="J56" s="146"/>
      <x:c r="K56"/>
      <x:c r="L56"/>
      <x:c r="M56" s="146"/>
      <x:c r="N56"/>
      <x:c r="O56" s="156"/>
    </x:row>
    <x:row r="57" ht="13.149999618530273" customHeight="1">
      <x:c r="G57" s="138"/>
      <x:c r="H57"/>
      <x:c r="I57" s="153"/>
      <x:c r="J57" s="146"/>
      <x:c r="K57"/>
      <x:c r="L57"/>
      <x:c r="M57" s="146"/>
      <x:c r="N57"/>
      <x:c r="O57" s="156"/>
    </x:row>
    <x:row r="58" ht="13.149999618530273" customHeight="1">
      <x:c r="G58" s="138"/>
      <x:c r="H58"/>
      <x:c r="I58" s="153"/>
      <x:c r="J58" s="146"/>
      <x:c r="K58"/>
      <x:c r="L58"/>
      <x:c r="M58" s="146"/>
      <x:c r="N58"/>
      <x:c r="O58" s="156"/>
    </x:row>
    <x:row r="59" ht="13.149999618530273" customHeight="1">
      <x:c r="G59" s="138"/>
      <x:c r="H59"/>
      <x:c r="I59" s="153"/>
      <x:c r="J59" s="146"/>
      <x:c r="K59"/>
      <x:c r="L59"/>
      <x:c r="M59" s="146"/>
      <x:c r="N59"/>
      <x:c r="O59" s="156"/>
    </x:row>
    <x:row r="60" ht="13.149999618530273" customHeight="1">
      <x:c r="G60" s="138"/>
      <x:c r="H60"/>
      <x:c r="I60" s="153"/>
      <x:c r="J60" s="146"/>
      <x:c r="K60"/>
      <x:c r="L60"/>
      <x:c r="M60" s="146"/>
      <x:c r="N60"/>
      <x:c r="O60" s="156"/>
    </x:row>
    <x:row r="61" ht="13.149999618530273" customHeight="1">
      <x:c r="G61" s="138"/>
      <x:c r="H61"/>
      <x:c r="I61" s="153"/>
      <x:c r="J61" s="146"/>
      <x:c r="K61"/>
      <x:c r="L61"/>
      <x:c r="M61" s="146"/>
      <x:c r="N61"/>
      <x:c r="O61" s="156"/>
    </x:row>
    <x:row r="62" ht="13.149999618530273" customHeight="1">
      <x:c r="G62" s="138"/>
      <x:c r="H62"/>
      <x:c r="I62" s="153"/>
      <x:c r="J62" s="146"/>
      <x:c r="K62"/>
      <x:c r="L62"/>
      <x:c r="M62" s="146"/>
      <x:c r="N62"/>
      <x:c r="O62" s="156"/>
    </x:row>
    <x:row r="63" ht="13.149999618530273" customHeight="1">
      <x:c r="G63" s="138"/>
      <x:c r="H63"/>
      <x:c r="I63" s="153"/>
      <x:c r="J63" s="146"/>
      <x:c r="K63"/>
      <x:c r="L63"/>
      <x:c r="M63" s="146"/>
      <x:c r="N63"/>
      <x:c r="O63" s="156"/>
    </x:row>
    <x:row r="64" ht="13.149999618530273" customHeight="1">
      <x:c r="G64" s="138"/>
      <x:c r="H64"/>
      <x:c r="I64" s="153"/>
      <x:c r="J64" s="146"/>
      <x:c r="K64"/>
      <x:c r="L64"/>
      <x:c r="M64" s="146"/>
      <x:c r="N64"/>
      <x:c r="O64" s="156"/>
    </x:row>
    <x:row r="65" ht="13.149999618530273" customHeight="1">
      <x:c r="G65" s="138"/>
      <x:c r="H65"/>
      <x:c r="I65" s="153"/>
      <x:c r="J65" s="146"/>
      <x:c r="K65"/>
      <x:c r="L65"/>
      <x:c r="M65" s="146"/>
      <x:c r="N65"/>
      <x:c r="O65" s="156"/>
    </x:row>
    <x:row r="66" ht="13.149999618530273" customHeight="1">
      <x:c r="G66" s="138"/>
      <x:c r="H66"/>
      <x:c r="I66" s="153"/>
      <x:c r="J66" s="146"/>
      <x:c r="K66"/>
      <x:c r="L66"/>
      <x:c r="M66" s="146"/>
      <x:c r="N66"/>
      <x:c r="O66" s="156"/>
    </x:row>
    <x:row r="67" ht="13.149999618530273" customHeight="1">
      <x:c r="G67" s="138"/>
      <x:c r="H67"/>
      <x:c r="I67" s="153"/>
      <x:c r="J67" s="146"/>
      <x:c r="K67"/>
      <x:c r="L67"/>
      <x:c r="M67" s="146"/>
      <x:c r="N67"/>
      <x:c r="O67" s="156"/>
    </x:row>
    <x:row r="68" ht="13.149999618530273" customHeight="1">
      <x:c r="G68" s="138"/>
      <x:c r="H68"/>
      <x:c r="I68" s="153"/>
      <x:c r="J68" s="146"/>
      <x:c r="K68"/>
      <x:c r="L68"/>
      <x:c r="M68" s="146"/>
      <x:c r="N68"/>
      <x:c r="O68" s="156"/>
    </x:row>
    <x:row r="69" ht="13.149999618530273" customHeight="1">
      <x:c r="G69" s="138"/>
      <x:c r="H69"/>
      <x:c r="I69" s="153"/>
      <x:c r="J69" s="146"/>
      <x:c r="K69"/>
      <x:c r="L69"/>
      <x:c r="M69" s="146"/>
      <x:c r="N69"/>
      <x:c r="O69" s="156"/>
    </x:row>
    <x:row r="70" ht="13.149999618530273" customHeight="1">
      <x:c r="G70" s="138"/>
      <x:c r="H70"/>
      <x:c r="I70" s="153"/>
      <x:c r="J70" s="146"/>
      <x:c r="K70"/>
      <x:c r="L70"/>
      <x:c r="M70" s="146"/>
      <x:c r="N70"/>
      <x:c r="O70" s="156"/>
    </x:row>
    <x:row r="71" ht="13.149999618530273" customHeight="1">
      <x:c r="G71" s="138"/>
      <x:c r="H71"/>
      <x:c r="I71" s="153"/>
      <x:c r="J71" s="146"/>
      <x:c r="K71"/>
      <x:c r="L71"/>
      <x:c r="M71" s="146"/>
      <x:c r="N71"/>
      <x:c r="O71" s="156"/>
    </x:row>
    <x:row r="72" ht="13.149999618530273" customHeight="1">
      <x:c r="G72" s="138"/>
      <x:c r="H72"/>
      <x:c r="I72" s="153"/>
      <x:c r="J72" s="146"/>
      <x:c r="K72"/>
      <x:c r="L72"/>
      <x:c r="M72" s="146"/>
      <x:c r="N72"/>
      <x:c r="O72" s="156"/>
    </x:row>
    <x:row r="73" ht="13.149999618530273" customHeight="1">
      <x:c r="G73" s="138"/>
      <x:c r="H73"/>
      <x:c r="I73" s="153"/>
      <x:c r="J73" s="146"/>
      <x:c r="K73"/>
      <x:c r="L73"/>
      <x:c r="M73" s="146"/>
      <x:c r="N73"/>
      <x:c r="O73" s="156"/>
    </x:row>
    <x:row r="74" ht="13.149999618530273" customHeight="1">
      <x:c r="G74" s="138"/>
      <x:c r="H74"/>
      <x:c r="I74" s="153"/>
      <x:c r="J74" s="146"/>
      <x:c r="K74"/>
      <x:c r="L74"/>
      <x:c r="M74" s="146"/>
      <x:c r="N74"/>
      <x:c r="O74" s="156"/>
    </x:row>
    <x:row r="75" ht="13.149999618530273" customHeight="1">
      <x:c r="G75" s="138"/>
      <x:c r="H75"/>
      <x:c r="I75" s="153"/>
      <x:c r="J75" s="146"/>
      <x:c r="K75"/>
      <x:c r="L75"/>
      <x:c r="M75" s="146"/>
      <x:c r="N75"/>
      <x:c r="O75" s="156"/>
    </x:row>
    <x:row r="76" ht="13.149999618530273" customHeight="1">
      <x:c r="G76" s="138"/>
      <x:c r="H76"/>
      <x:c r="I76" s="153"/>
      <x:c r="J76" s="146"/>
      <x:c r="K76"/>
      <x:c r="L76"/>
      <x:c r="M76" s="146"/>
      <x:c r="N76"/>
      <x:c r="O76" s="156"/>
    </x:row>
    <x:row r="77" ht="13.149999618530273" customHeight="1">
      <x:c r="G77" s="138"/>
      <x:c r="H77"/>
      <x:c r="I77" s="153"/>
      <x:c r="J77" s="146"/>
      <x:c r="K77"/>
      <x:c r="L77"/>
      <x:c r="M77" s="146"/>
      <x:c r="N77"/>
      <x:c r="O77" s="156"/>
    </x:row>
    <x:row r="78" ht="13.149999618530273" customHeight="1">
      <x:c r="G78" s="138"/>
      <x:c r="H78"/>
      <x:c r="I78" s="153"/>
      <x:c r="J78" s="146"/>
      <x:c r="K78"/>
      <x:c r="L78"/>
      <x:c r="M78" s="146"/>
      <x:c r="N78"/>
      <x:c r="O78" s="156"/>
    </x:row>
    <x:row r="79" ht="13.149999618530273" customHeight="1">
      <x:c r="G79" s="138"/>
      <x:c r="H79"/>
      <x:c r="I79" s="153"/>
      <x:c r="J79" s="146"/>
      <x:c r="K79"/>
      <x:c r="L79"/>
      <x:c r="M79" s="146"/>
      <x:c r="N79"/>
      <x:c r="O79" s="156"/>
    </x:row>
    <x:row r="80" ht="13.149999618530273" customHeight="1">
      <x:c r="G80" s="138"/>
      <x:c r="H80"/>
      <x:c r="I80" s="153"/>
      <x:c r="J80" s="146"/>
      <x:c r="K80"/>
      <x:c r="L80"/>
      <x:c r="M80" s="146"/>
      <x:c r="N80"/>
      <x:c r="O80" s="156"/>
    </x:row>
    <x:row r="81" ht="13.149999618530273" customHeight="1">
      <x:c r="G81" s="138"/>
      <x:c r="H81"/>
      <x:c r="I81" s="153"/>
      <x:c r="J81" s="146"/>
      <x:c r="K81"/>
      <x:c r="L81"/>
      <x:c r="M81" s="146"/>
      <x:c r="N81"/>
      <x:c r="O81" s="156"/>
    </x:row>
    <x:row r="82" ht="13.149999618530273" customHeight="1">
      <x:c r="G82" s="138"/>
      <x:c r="H82"/>
      <x:c r="I82" s="153"/>
      <x:c r="J82" s="146"/>
      <x:c r="K82"/>
      <x:c r="L82"/>
      <x:c r="M82" s="146"/>
      <x:c r="N82"/>
      <x:c r="O82" s="156"/>
    </x:row>
    <x:row r="83" ht="13.149999618530273" customHeight="1">
      <x:c r="G83" s="138"/>
      <x:c r="H83"/>
      <x:c r="I83" s="153"/>
      <x:c r="J83" s="146"/>
      <x:c r="K83"/>
      <x:c r="L83"/>
      <x:c r="M83" s="146"/>
      <x:c r="N83"/>
      <x:c r="O83" s="156"/>
    </x:row>
    <x:row r="84" ht="13.149999618530273" customHeight="1">
      <x:c r="G84" s="138"/>
      <x:c r="H84"/>
      <x:c r="I84" s="153"/>
      <x:c r="J84" s="146"/>
      <x:c r="K84"/>
      <x:c r="L84"/>
      <x:c r="M84" s="146"/>
      <x:c r="N84"/>
      <x:c r="O84" s="156"/>
    </x:row>
    <x:row r="85" ht="13.149999618530273" customHeight="1">
      <x:c r="G85" s="138"/>
      <x:c r="H85"/>
      <x:c r="I85" s="153"/>
      <x:c r="J85" s="146"/>
      <x:c r="K85"/>
      <x:c r="L85"/>
      <x:c r="M85" s="146"/>
      <x:c r="N85"/>
      <x:c r="O85" s="156"/>
    </x:row>
    <x:row r="86" ht="13.149999618530273" customHeight="1">
      <x:c r="G86" s="138"/>
      <x:c r="H86"/>
      <x:c r="I86" s="153"/>
      <x:c r="J86" s="146"/>
      <x:c r="K86"/>
      <x:c r="L86"/>
      <x:c r="M86" s="146"/>
      <x:c r="N86"/>
      <x:c r="O86" s="156"/>
    </x:row>
    <x:row r="87" ht="13.149999618530273" customHeight="1">
      <x:c r="G87" s="138"/>
      <x:c r="H87"/>
      <x:c r="I87" s="153"/>
      <x:c r="J87" s="146"/>
      <x:c r="K87"/>
      <x:c r="L87"/>
      <x:c r="M87" s="146"/>
      <x:c r="N87"/>
      <x:c r="O87" s="156"/>
    </x:row>
    <x:row r="88" ht="13.149999618530273" customHeight="1">
      <x:c r="G88" s="138"/>
      <x:c r="H88"/>
      <x:c r="I88" s="153"/>
      <x:c r="J88" s="146"/>
      <x:c r="K88"/>
      <x:c r="L88"/>
      <x:c r="M88" s="146"/>
      <x:c r="N88"/>
      <x:c r="O88" s="156"/>
    </x:row>
    <x:row r="89" ht="13.149999618530273" customHeight="1">
      <x:c r="G89" s="138"/>
      <x:c r="H89"/>
      <x:c r="I89" s="153"/>
      <x:c r="J89" s="146"/>
      <x:c r="K89"/>
      <x:c r="L89"/>
      <x:c r="M89" s="146"/>
      <x:c r="N89"/>
      <x:c r="O89" s="156"/>
    </x:row>
    <x:row r="90" ht="13.149999618530273" customHeight="1">
      <x:c r="G90" s="138"/>
      <x:c r="H90"/>
      <x:c r="I90" s="153"/>
      <x:c r="J90" s="146"/>
      <x:c r="K90"/>
      <x:c r="L90"/>
      <x:c r="M90" s="146"/>
      <x:c r="N90"/>
      <x:c r="O90" s="156"/>
    </x:row>
    <x:row r="91" ht="13.149999618530273" customHeight="1">
      <x:c r="G91" s="138"/>
      <x:c r="H91"/>
      <x:c r="I91" s="153"/>
      <x:c r="J91" s="146"/>
      <x:c r="K91"/>
      <x:c r="L91"/>
      <x:c r="M91" s="146"/>
      <x:c r="N91"/>
      <x:c r="O91" s="156"/>
    </x:row>
    <x:row r="92" ht="13.149999618530273" customHeight="1">
      <x:c r="G92" s="138"/>
      <x:c r="H92"/>
      <x:c r="I92" s="153"/>
      <x:c r="J92" s="146"/>
      <x:c r="K92"/>
      <x:c r="L92"/>
      <x:c r="M92" s="146"/>
      <x:c r="N92"/>
      <x:c r="O92" s="156"/>
    </x:row>
    <x:row r="93" ht="13.149999618530273" customHeight="1">
      <x:c r="G93" s="138"/>
      <x:c r="H93"/>
      <x:c r="I93" s="153"/>
      <x:c r="J93" s="146"/>
      <x:c r="K93"/>
      <x:c r="L93"/>
      <x:c r="M93" s="146"/>
      <x:c r="N93"/>
      <x:c r="O93" s="156"/>
    </x:row>
    <x:row r="94" ht="13.149999618530273" customHeight="1">
      <x:c r="G94" s="138"/>
      <x:c r="H94"/>
      <x:c r="I94" s="153"/>
      <x:c r="J94" s="146"/>
      <x:c r="K94"/>
      <x:c r="L94"/>
      <x:c r="M94" s="146"/>
      <x:c r="N94"/>
      <x:c r="O94" s="156"/>
    </x:row>
    <x:row r="95" ht="13.149999618530273" customHeight="1">
      <x:c r="G95" s="138"/>
      <x:c r="H95"/>
      <x:c r="I95" s="153"/>
      <x:c r="J95" s="146"/>
      <x:c r="K95"/>
      <x:c r="L95"/>
      <x:c r="M95" s="146"/>
      <x:c r="N95"/>
      <x:c r="O95" s="156"/>
    </x:row>
    <x:row r="96" ht="13.149999618530273" customHeight="1">
      <x:c r="G96" s="138"/>
      <x:c r="H96"/>
      <x:c r="I96" s="153"/>
      <x:c r="J96" s="146"/>
      <x:c r="K96"/>
      <x:c r="L96"/>
      <x:c r="M96" s="146"/>
      <x:c r="N96"/>
      <x:c r="O96" s="156"/>
    </x:row>
    <x:row r="97" ht="13.149999618530273" customHeight="1">
      <x:c r="G97" s="138"/>
      <x:c r="H97"/>
      <x:c r="I97" s="153"/>
      <x:c r="J97" s="146"/>
      <x:c r="K97"/>
      <x:c r="L97"/>
      <x:c r="M97" s="146"/>
      <x:c r="N97"/>
      <x:c r="O97" s="156"/>
    </x:row>
    <x:row r="98" ht="13.149999618530273" customHeight="1">
      <x:c r="G98" s="138"/>
      <x:c r="H98"/>
      <x:c r="I98" s="153"/>
      <x:c r="J98" s="146"/>
      <x:c r="K98"/>
      <x:c r="L98"/>
      <x:c r="M98" s="146"/>
      <x:c r="N98"/>
      <x:c r="O98" s="156"/>
    </x:row>
    <x:row r="99" ht="13.149999618530273" customHeight="1">
      <x:c r="G99" s="138"/>
      <x:c r="H99"/>
      <x:c r="I99" s="153"/>
      <x:c r="J99" s="146"/>
      <x:c r="K99"/>
      <x:c r="L99"/>
      <x:c r="M99" s="146"/>
      <x:c r="N99"/>
      <x:c r="O99" s="156"/>
    </x:row>
    <x:row r="100" ht="13.149999618530273" customHeight="1">
      <x:c r="G100" s="138"/>
      <x:c r="H100"/>
      <x:c r="I100" s="153"/>
      <x:c r="J100" s="146"/>
      <x:c r="K100"/>
      <x:c r="L100"/>
      <x:c r="M100" s="146"/>
      <x:c r="N100"/>
      <x:c r="O100" s="156"/>
    </x:row>
  </x:sheetData>
  <x:mergeCells>
    <x:mergeCell ref="B3:E3"/>
    <x:mergeCell ref="B2:E2"/>
    <x:mergeCell ref="B4:E4"/>
  </x:mergeCells>
  <x:dataValidations count="1">
    <x:dataValidation type="list" allowBlank="1" sqref="F11:F76 I11:I76 L11:L76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72061d571b364091"/>
</x:worksheet>
</file>

<file path=xl/worksheets/sheet8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52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766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36" customHeight="1">
      <x:c r="A3" s="83" t="s">
        <x:v>111</x:v>
      </x:c>
      <x:c r="B3" s="133" t="s">
        <x:v>767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3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1</x:v>
      </x:c>
      <x:c r="C6" s="90" t="n">
        <x:v>0</x:v>
      </x:c>
      <x:c r="D6" s="90" t="n">
        <x:v>0</x:v>
      </x:c>
      <x:c r="E6" s="91" t="n">
        <x:v>2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 t="str">
        <x:v>Round 2</x:v>
      </x:c>
      <x:c r="B7" s="90" t="n">
        <x:v>0</x:v>
      </x:c>
      <x:c r="C7" s="90" t="n">
        <x:v>1</x:v>
      </x:c>
      <x:c r="D7" s="90" t="n">
        <x:v>0</x:v>
      </x:c>
      <x:c r="E7" s="91" t="n">
        <x:v>2</x:v>
      </x:c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149" t="str">
        <x:v>Round 2</x:v>
      </x:c>
      <x:c r="J10" s="150" t="str">
        <x:v>Test date</x:v>
      </x:c>
      <x:c r="K10" s="149" t="str">
        <x:v>Tester</x:v>
      </x:c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97</x:v>
      </x:c>
      <x:c r="B11" s="98"/>
      <x:c r="C11" s="99"/>
      <x:c r="D11" s="99"/>
      <x:c r="E11" s="99"/>
      <x:c r="F11" s="99"/>
      <x:c r="G11" s="144"/>
      <x:c r="H11" s="99"/>
      <x:c r="I11" s="151"/>
      <x:c r="J11" s="144"/>
      <x:c r="K11" s="99"/>
      <x:c r="L11" s="99"/>
      <x:c r="M11" s="144"/>
      <x:c r="N11" s="99"/>
      <x:c r="O11" s="154"/>
    </x:row>
    <x:row r="12" ht="132" customHeight="1">
      <x:c r="A12" s="101" t="s">
        <x:v>768</x:v>
      </x:c>
      <x:c r="B12" s="37" t="s">
        <x:v>769</x:v>
      </x:c>
      <x:c r="C12" s="37" t="s">
        <x:v>770</x:v>
      </x:c>
      <x:c r="D12" s="102" t="s">
        <x:v>771</x:v>
      </x:c>
      <x:c r="E12" s="102" t="s">
        <x:v>712</x:v>
      </x:c>
      <x:c r="F12" s="101" t="str">
        <x:v>Passed</x:v>
      </x:c>
      <x:c r="G12" s="145" t="n">
        <x:v>46323</x:v>
      </x:c>
      <x:c r="H12" s="101" t="str">
        <x:v>Minh Trí</x:v>
      </x:c>
      <x:c r="I12" s="152" t="str">
        <x:v>Failed</x:v>
      </x:c>
      <x:c r="J12" s="145" t="n">
        <x:v>46325</x:v>
      </x:c>
      <x:c r="K12" s="101" t="str">
        <x:v>Minh Trí</x:v>
      </x:c>
      <x:c r="L12" s="101"/>
      <x:c r="M12" s="145"/>
      <x:c r="N12" s="101"/>
      <x:c r="O12" s="155" t="str">
        <x:v>Round 2: chưa đạt; xem collection log tương ứng trong outputs/pbl6-round2/logs.</x:v>
      </x:c>
    </x:row>
    <x:row r="13" ht="36" customHeight="1">
      <x:c r="A13" s="101" t="s">
        <x:v>772</x:v>
      </x:c>
      <x:c r="B13" s="37" t="s">
        <x:v>773</x:v>
      </x:c>
      <x:c r="C13" s="37" t="s">
        <x:v>774</x:v>
      </x:c>
      <x:c r="D13" s="102" t="s">
        <x:v>775</x:v>
      </x:c>
      <x:c r="E13" s="102" t="s">
        <x:v>29</x:v>
      </x:c>
      <x:c r="F13" s="101" t="str">
        <x:v>N/A</x:v>
      </x:c>
      <x:c r="G13" s="145"/>
      <x:c r="H13" s="101"/>
      <x:c r="I13" s="152" t="str">
        <x:v>N/A</x:v>
      </x:c>
      <x:c r="J13" s="145"/>
      <x:c r="K13" s="101"/>
      <x:c r="L13" s="101"/>
      <x:c r="M13" s="145"/>
      <x:c r="N13" s="101"/>
      <x:c r="O13" s="155" t="str">
        <x:v>Không áp dụng theo phạm vi SRS hiện tại.</x:v>
      </x:c>
    </x:row>
    <x:row r="14" ht="36" customHeight="1">
      <x:c r="A14" s="101" t="s">
        <x:v>776</x:v>
      </x:c>
      <x:c r="B14" s="37" t="s">
        <x:v>777</x:v>
      </x:c>
      <x:c r="C14" s="37" t="s">
        <x:v>778</x:v>
      </x:c>
      <x:c r="D14" s="102" t="s">
        <x:v>779</x:v>
      </x:c>
      <x:c r="E14" s="102" t="s">
        <x:v>780</x:v>
      </x:c>
      <x:c r="F14" s="101" t="str">
        <x:v>N/A</x:v>
      </x:c>
      <x:c r="G14" s="145"/>
      <x:c r="H14" s="101"/>
      <x:c r="I14" s="152" t="str">
        <x:v>N/A</x:v>
      </x:c>
      <x:c r="J14" s="145"/>
      <x:c r="K14" s="101"/>
      <x:c r="L14" s="101"/>
      <x:c r="M14" s="145"/>
      <x:c r="N14" s="101"/>
      <x:c r="O14" s="155" t="str">
        <x:v>Không áp dụng theo phạm vi SRS hiện tại.</x:v>
      </x:c>
    </x:row>
    <x:row r="15" ht="13.149999618530273" customHeight="1">
      <x:c r="G15" s="138"/>
      <x:c r="H15"/>
      <x:c r="I15" s="153"/>
      <x:c r="J15" s="146"/>
      <x:c r="K15"/>
      <x:c r="L15"/>
      <x:c r="M15" s="146"/>
      <x:c r="N15"/>
      <x:c r="O15" s="156"/>
    </x:row>
    <x:row r="16" ht="13.149999618530273" customHeight="1">
      <x:c r="G16" s="138"/>
      <x:c r="H16"/>
      <x:c r="I16" s="153"/>
      <x:c r="J16" s="146"/>
      <x:c r="K16"/>
      <x:c r="L16"/>
      <x:c r="M16" s="146"/>
      <x:c r="N16"/>
      <x:c r="O16" s="156"/>
    </x:row>
    <x:row r="17" ht="13.149999618530273" customHeight="1">
      <x:c r="G17" s="138"/>
      <x:c r="H17"/>
      <x:c r="I17" s="153"/>
      <x:c r="J17" s="146"/>
      <x:c r="K17"/>
      <x:c r="L17"/>
      <x:c r="M17" s="146"/>
      <x:c r="N17"/>
      <x:c r="O17" s="156"/>
    </x:row>
    <x:row r="18" ht="13.149999618530273" customHeight="1">
      <x:c r="G18" s="138"/>
      <x:c r="H18"/>
      <x:c r="I18" s="153"/>
      <x:c r="J18" s="146"/>
      <x:c r="K18"/>
      <x:c r="L18"/>
      <x:c r="M18" s="146"/>
      <x:c r="N18"/>
      <x:c r="O18" s="156"/>
    </x:row>
    <x:row r="19" ht="13.149999618530273" customHeight="1">
      <x:c r="G19" s="138"/>
      <x:c r="H19"/>
      <x:c r="I19" s="153"/>
      <x:c r="J19" s="146"/>
      <x:c r="K19"/>
      <x:c r="L19"/>
      <x:c r="M19" s="146"/>
      <x:c r="N19"/>
      <x:c r="O19" s="156"/>
    </x:row>
    <x:row r="20" ht="13.149999618530273" customHeight="1">
      <x:c r="G20" s="138"/>
      <x:c r="H20"/>
      <x:c r="I20" s="153"/>
      <x:c r="J20" s="146"/>
      <x:c r="K20"/>
      <x:c r="L20"/>
      <x:c r="M20" s="146"/>
      <x:c r="N20"/>
      <x:c r="O20" s="156"/>
    </x:row>
    <x:row r="21" ht="13.149999618530273" customHeight="1">
      <x:c r="G21" s="138"/>
      <x:c r="H21"/>
      <x:c r="I21" s="153"/>
      <x:c r="J21" s="146"/>
      <x:c r="K21"/>
      <x:c r="L21"/>
      <x:c r="M21" s="146"/>
      <x:c r="N21"/>
      <x:c r="O21" s="156"/>
    </x:row>
    <x:row r="22" ht="13.149999618530273" customHeight="1">
      <x:c r="G22" s="138"/>
      <x:c r="H22"/>
      <x:c r="I22" s="153"/>
      <x:c r="J22" s="146"/>
      <x:c r="K22"/>
      <x:c r="L22"/>
      <x:c r="M22" s="146"/>
      <x:c r="N22"/>
      <x:c r="O22" s="156"/>
    </x:row>
    <x:row r="23" ht="13.149999618530273" customHeight="1">
      <x:c r="G23" s="138"/>
      <x:c r="H23"/>
      <x:c r="I23" s="153"/>
      <x:c r="J23" s="146"/>
      <x:c r="K23"/>
      <x:c r="L23"/>
      <x:c r="M23" s="146"/>
      <x:c r="N23"/>
      <x:c r="O23" s="156"/>
    </x:row>
    <x:row r="24" ht="13.149999618530273" customHeight="1">
      <x:c r="G24" s="138"/>
      <x:c r="H24"/>
      <x:c r="I24" s="153"/>
      <x:c r="J24" s="146"/>
      <x:c r="K24"/>
      <x:c r="L24"/>
      <x:c r="M24" s="146"/>
      <x:c r="N24"/>
      <x:c r="O24" s="156"/>
    </x:row>
    <x:row r="25" ht="13.149999618530273" customHeight="1">
      <x:c r="G25" s="138"/>
      <x:c r="H25"/>
      <x:c r="I25" s="153"/>
      <x:c r="J25" s="146"/>
      <x:c r="K25"/>
      <x:c r="L25"/>
      <x:c r="M25" s="146"/>
      <x:c r="N25"/>
      <x:c r="O25" s="156"/>
    </x:row>
    <x:row r="26" ht="13.149999618530273" customHeight="1">
      <x:c r="G26" s="138"/>
      <x:c r="H26"/>
      <x:c r="I26" s="153"/>
      <x:c r="J26" s="146"/>
      <x:c r="K26"/>
      <x:c r="L26"/>
      <x:c r="M26" s="146"/>
      <x:c r="N26"/>
      <x:c r="O26" s="156"/>
    </x:row>
    <x:row r="27" ht="13.149999618530273" customHeight="1">
      <x:c r="G27" s="138"/>
      <x:c r="H27"/>
      <x:c r="I27" s="153"/>
      <x:c r="J27" s="146"/>
      <x:c r="K27"/>
      <x:c r="L27"/>
      <x:c r="M27" s="146"/>
      <x:c r="N27"/>
      <x:c r="O27" s="156"/>
    </x:row>
    <x:row r="28" ht="13.149999618530273" customHeight="1">
      <x:c r="G28" s="138"/>
      <x:c r="H28"/>
      <x:c r="I28" s="153"/>
      <x:c r="J28" s="146"/>
      <x:c r="K28"/>
      <x:c r="L28"/>
      <x:c r="M28" s="146"/>
      <x:c r="N28"/>
      <x:c r="O28" s="156"/>
    </x:row>
    <x:row r="29" ht="13.149999618530273" customHeight="1">
      <x:c r="G29" s="138"/>
      <x:c r="H29"/>
      <x:c r="I29" s="153"/>
      <x:c r="J29" s="146"/>
      <x:c r="K29"/>
      <x:c r="L29"/>
      <x:c r="M29" s="146"/>
      <x:c r="N29"/>
      <x:c r="O29" s="156"/>
    </x:row>
    <x:row r="30" ht="13.149999618530273" customHeight="1">
      <x:c r="G30" s="138"/>
      <x:c r="H30"/>
      <x:c r="I30" s="153"/>
      <x:c r="J30" s="146"/>
      <x:c r="K30"/>
      <x:c r="L30"/>
      <x:c r="M30" s="146"/>
      <x:c r="N30"/>
      <x:c r="O30" s="156"/>
    </x:row>
    <x:row r="31" ht="13.149999618530273" customHeight="1">
      <x:c r="G31" s="138"/>
      <x:c r="H31"/>
      <x:c r="I31" s="153"/>
      <x:c r="J31" s="146"/>
      <x:c r="K31"/>
      <x:c r="L31"/>
      <x:c r="M31" s="146"/>
      <x:c r="N31"/>
      <x:c r="O31" s="156"/>
    </x:row>
    <x:row r="32" ht="13.149999618530273" customHeight="1">
      <x:c r="G32" s="138"/>
      <x:c r="H32"/>
      <x:c r="I32" s="153"/>
      <x:c r="J32" s="146"/>
      <x:c r="K32"/>
      <x:c r="L32"/>
      <x:c r="M32" s="146"/>
      <x:c r="N32"/>
      <x:c r="O32" s="156"/>
    </x:row>
    <x:row r="33" ht="13.149999618530273" customHeight="1">
      <x:c r="G33" s="138"/>
      <x:c r="H33"/>
      <x:c r="I33" s="153"/>
      <x:c r="J33" s="146"/>
      <x:c r="K33"/>
      <x:c r="L33"/>
      <x:c r="M33" s="146"/>
      <x:c r="N33"/>
      <x:c r="O33" s="156"/>
    </x:row>
    <x:row r="34" ht="13.149999618530273" customHeight="1">
      <x:c r="G34" s="138"/>
      <x:c r="H34"/>
      <x:c r="I34" s="153"/>
      <x:c r="J34" s="146"/>
      <x:c r="K34"/>
      <x:c r="L34"/>
      <x:c r="M34" s="146"/>
      <x:c r="N34"/>
      <x:c r="O34" s="156"/>
    </x:row>
    <x:row r="35" ht="13.149999618530273" customHeight="1">
      <x:c r="G35" s="138"/>
      <x:c r="H35"/>
      <x:c r="I35" s="153"/>
      <x:c r="J35" s="146"/>
      <x:c r="K35"/>
      <x:c r="L35"/>
      <x:c r="M35" s="146"/>
      <x:c r="N35"/>
      <x:c r="O35" s="156"/>
    </x:row>
    <x:row r="36" ht="13.149999618530273" customHeight="1">
      <x:c r="G36" s="138"/>
      <x:c r="H36"/>
      <x:c r="I36" s="153"/>
      <x:c r="J36" s="146"/>
      <x:c r="K36"/>
      <x:c r="L36"/>
      <x:c r="M36" s="146"/>
      <x:c r="N36"/>
      <x:c r="O36" s="156"/>
    </x:row>
    <x:row r="37" ht="13.149999618530273" customHeight="1">
      <x:c r="G37" s="138"/>
      <x:c r="H37"/>
      <x:c r="I37" s="153"/>
      <x:c r="J37" s="146"/>
      <x:c r="K37"/>
      <x:c r="L37"/>
      <x:c r="M37" s="146"/>
      <x:c r="N37"/>
      <x:c r="O37" s="156"/>
    </x:row>
    <x:row r="38" ht="13.149999618530273" customHeight="1">
      <x:c r="G38" s="138"/>
      <x:c r="H38"/>
      <x:c r="I38" s="153"/>
      <x:c r="J38" s="146"/>
      <x:c r="K38"/>
      <x:c r="L38"/>
      <x:c r="M38" s="146"/>
      <x:c r="N38"/>
      <x:c r="O38" s="156"/>
    </x:row>
    <x:row r="39" ht="13.149999618530273" customHeight="1">
      <x:c r="G39" s="138"/>
      <x:c r="H39"/>
      <x:c r="I39" s="153"/>
      <x:c r="J39" s="146"/>
      <x:c r="K39"/>
      <x:c r="L39"/>
      <x:c r="M39" s="146"/>
      <x:c r="N39"/>
      <x:c r="O39" s="156"/>
    </x:row>
    <x:row r="40" ht="13.149999618530273" customHeight="1">
      <x:c r="G40" s="138"/>
      <x:c r="H40"/>
      <x:c r="I40" s="153"/>
      <x:c r="J40" s="146"/>
      <x:c r="K40"/>
      <x:c r="L40"/>
      <x:c r="M40" s="146"/>
      <x:c r="N40"/>
      <x:c r="O40" s="156"/>
    </x:row>
    <x:row r="41" ht="13.149999618530273" customHeight="1">
      <x:c r="G41" s="138"/>
      <x:c r="H41"/>
      <x:c r="I41" s="153"/>
      <x:c r="J41" s="146"/>
      <x:c r="K41"/>
      <x:c r="L41"/>
      <x:c r="M41" s="146"/>
      <x:c r="N41"/>
      <x:c r="O41" s="156"/>
    </x:row>
    <x:row r="42" ht="13.149999618530273" customHeight="1">
      <x:c r="G42" s="138"/>
      <x:c r="H42"/>
      <x:c r="I42" s="153"/>
      <x:c r="J42" s="146"/>
      <x:c r="K42"/>
      <x:c r="L42"/>
      <x:c r="M42" s="146"/>
      <x:c r="N42"/>
      <x:c r="O42" s="156"/>
    </x:row>
    <x:row r="43" ht="13.149999618530273" customHeight="1">
      <x:c r="G43" s="138"/>
      <x:c r="H43"/>
      <x:c r="I43" s="153"/>
      <x:c r="J43" s="146"/>
      <x:c r="K43"/>
      <x:c r="L43"/>
      <x:c r="M43" s="146"/>
      <x:c r="N43"/>
      <x:c r="O43" s="156"/>
    </x:row>
    <x:row r="44" ht="13.149999618530273" customHeight="1">
      <x:c r="G44" s="138"/>
      <x:c r="H44"/>
      <x:c r="I44" s="153"/>
      <x:c r="J44" s="146"/>
      <x:c r="K44"/>
      <x:c r="L44"/>
      <x:c r="M44" s="146"/>
      <x:c r="N44"/>
      <x:c r="O44" s="156"/>
    </x:row>
    <x:row r="45" ht="13.149999618530273" customHeight="1">
      <x:c r="G45" s="138"/>
      <x:c r="H45"/>
      <x:c r="I45" s="153"/>
      <x:c r="J45" s="146"/>
      <x:c r="K45"/>
      <x:c r="L45"/>
      <x:c r="M45" s="146"/>
      <x:c r="N45"/>
      <x:c r="O45" s="156"/>
    </x:row>
    <x:row r="46" ht="13.149999618530273" customHeight="1">
      <x:c r="G46" s="138"/>
      <x:c r="H46"/>
      <x:c r="I46" s="153"/>
      <x:c r="J46" s="146"/>
      <x:c r="K46"/>
      <x:c r="L46"/>
      <x:c r="M46" s="146"/>
      <x:c r="N46"/>
      <x:c r="O46" s="156"/>
    </x:row>
    <x:row r="47" ht="13.149999618530273" customHeight="1">
      <x:c r="G47" s="138"/>
      <x:c r="H47"/>
      <x:c r="I47" s="153"/>
      <x:c r="J47" s="146"/>
      <x:c r="K47"/>
      <x:c r="L47"/>
      <x:c r="M47" s="146"/>
      <x:c r="N47"/>
      <x:c r="O47" s="156"/>
    </x:row>
    <x:row r="48" ht="13.149999618530273" customHeight="1">
      <x:c r="G48" s="138"/>
      <x:c r="H48"/>
      <x:c r="I48" s="153"/>
      <x:c r="J48" s="146"/>
      <x:c r="K48"/>
      <x:c r="L48"/>
      <x:c r="M48" s="146"/>
      <x:c r="N48"/>
      <x:c r="O48" s="156"/>
    </x:row>
    <x:row r="49" ht="13.149999618530273" customHeight="1">
      <x:c r="G49" s="138"/>
      <x:c r="H49"/>
      <x:c r="I49" s="153"/>
      <x:c r="J49" s="146"/>
      <x:c r="K49"/>
      <x:c r="L49"/>
      <x:c r="M49" s="146"/>
      <x:c r="N49"/>
      <x:c r="O49" s="156"/>
    </x:row>
    <x:row r="50" ht="13.149999618530273" customHeight="1">
      <x:c r="G50" s="138"/>
      <x:c r="H50"/>
      <x:c r="I50" s="153"/>
      <x:c r="J50" s="146"/>
      <x:c r="K50"/>
      <x:c r="L50"/>
      <x:c r="M50" s="146"/>
      <x:c r="N50"/>
      <x:c r="O50" s="156"/>
    </x:row>
    <x:row r="51" ht="13.149999618530273" customHeight="1">
      <x:c r="G51" s="138"/>
      <x:c r="H51"/>
      <x:c r="I51" s="153"/>
      <x:c r="J51" s="146"/>
      <x:c r="K51"/>
      <x:c r="L51"/>
      <x:c r="M51" s="146"/>
      <x:c r="N51"/>
      <x:c r="O51" s="156"/>
    </x:row>
    <x:row r="52" ht="13.149999618530273" customHeight="1">
      <x:c r="G52" s="138"/>
      <x:c r="H52"/>
      <x:c r="I52" s="153"/>
      <x:c r="J52" s="146"/>
      <x:c r="K52"/>
      <x:c r="L52"/>
      <x:c r="M52" s="146"/>
      <x:c r="N52"/>
      <x:c r="O52" s="156"/>
    </x:row>
    <x:row r="53" ht="13.149999618530273" customHeight="1">
      <x:c r="G53" s="138"/>
      <x:c r="H53"/>
      <x:c r="I53" s="153"/>
      <x:c r="J53" s="146"/>
      <x:c r="K53"/>
      <x:c r="L53"/>
      <x:c r="M53" s="146"/>
      <x:c r="N53"/>
      <x:c r="O53" s="156"/>
    </x:row>
    <x:row r="54" ht="13.149999618530273" customHeight="1">
      <x:c r="G54" s="138"/>
      <x:c r="H54"/>
      <x:c r="I54" s="153"/>
      <x:c r="J54" s="146"/>
      <x:c r="K54"/>
      <x:c r="L54"/>
      <x:c r="M54" s="146"/>
      <x:c r="N54"/>
      <x:c r="O54" s="156"/>
    </x:row>
    <x:row r="55" ht="13.149999618530273" customHeight="1">
      <x:c r="G55" s="138"/>
      <x:c r="H55"/>
      <x:c r="I55" s="153"/>
      <x:c r="J55" s="146"/>
      <x:c r="K55"/>
      <x:c r="L55"/>
      <x:c r="M55" s="146"/>
      <x:c r="N55"/>
      <x:c r="O55" s="156"/>
    </x:row>
    <x:row r="56" ht="13.149999618530273" customHeight="1">
      <x:c r="G56" s="138"/>
      <x:c r="H56"/>
      <x:c r="I56" s="153"/>
      <x:c r="J56" s="146"/>
      <x:c r="K56"/>
      <x:c r="L56"/>
      <x:c r="M56" s="146"/>
      <x:c r="N56"/>
      <x:c r="O56" s="156"/>
    </x:row>
    <x:row r="57" ht="13.149999618530273" customHeight="1">
      <x:c r="G57" s="138"/>
      <x:c r="H57"/>
      <x:c r="I57" s="153"/>
      <x:c r="J57" s="146"/>
      <x:c r="K57"/>
      <x:c r="L57"/>
      <x:c r="M57" s="146"/>
      <x:c r="N57"/>
      <x:c r="O57" s="156"/>
    </x:row>
    <x:row r="58" ht="13.149999618530273" customHeight="1">
      <x:c r="G58" s="138"/>
      <x:c r="H58"/>
      <x:c r="I58" s="153"/>
      <x:c r="J58" s="146"/>
      <x:c r="K58"/>
      <x:c r="L58"/>
      <x:c r="M58" s="146"/>
      <x:c r="N58"/>
      <x:c r="O58" s="156"/>
    </x:row>
    <x:row r="59" ht="13.149999618530273" customHeight="1">
      <x:c r="G59" s="138"/>
      <x:c r="H59"/>
      <x:c r="I59" s="153"/>
      <x:c r="J59" s="146"/>
      <x:c r="K59"/>
      <x:c r="L59"/>
      <x:c r="M59" s="146"/>
      <x:c r="N59"/>
      <x:c r="O59" s="156"/>
    </x:row>
    <x:row r="60" ht="13.149999618530273" customHeight="1">
      <x:c r="G60" s="138"/>
      <x:c r="H60"/>
      <x:c r="I60" s="153"/>
      <x:c r="J60" s="146"/>
      <x:c r="K60"/>
      <x:c r="L60"/>
      <x:c r="M60" s="146"/>
      <x:c r="N60"/>
      <x:c r="O60" s="156"/>
    </x:row>
    <x:row r="61" ht="13.149999618530273" customHeight="1">
      <x:c r="G61" s="138"/>
      <x:c r="H61"/>
      <x:c r="I61" s="153"/>
      <x:c r="J61" s="146"/>
      <x:c r="K61"/>
      <x:c r="L61"/>
      <x:c r="M61" s="146"/>
      <x:c r="N61"/>
      <x:c r="O61" s="156"/>
    </x:row>
    <x:row r="62" ht="13.149999618530273" customHeight="1">
      <x:c r="G62" s="138"/>
      <x:c r="H62"/>
      <x:c r="I62" s="153"/>
      <x:c r="J62" s="146"/>
      <x:c r="K62"/>
      <x:c r="L62"/>
      <x:c r="M62" s="146"/>
      <x:c r="N62"/>
      <x:c r="O62" s="156"/>
    </x:row>
    <x:row r="63" ht="13.149999618530273" customHeight="1">
      <x:c r="G63" s="138"/>
      <x:c r="H63"/>
      <x:c r="I63" s="153"/>
      <x:c r="J63" s="146"/>
      <x:c r="K63"/>
      <x:c r="L63"/>
      <x:c r="M63" s="146"/>
      <x:c r="N63"/>
      <x:c r="O63" s="156"/>
    </x:row>
    <x:row r="64" ht="13.149999618530273" customHeight="1">
      <x:c r="G64" s="138"/>
      <x:c r="H64"/>
      <x:c r="I64" s="153"/>
      <x:c r="J64" s="146"/>
      <x:c r="K64"/>
      <x:c r="L64"/>
      <x:c r="M64" s="146"/>
      <x:c r="N64"/>
      <x:c r="O64" s="156"/>
    </x:row>
    <x:row r="65" ht="13.149999618530273" customHeight="1">
      <x:c r="G65" s="138"/>
      <x:c r="H65"/>
      <x:c r="I65" s="153"/>
      <x:c r="J65" s="146"/>
      <x:c r="K65"/>
      <x:c r="L65"/>
      <x:c r="M65" s="146"/>
      <x:c r="N65"/>
      <x:c r="O65" s="156"/>
    </x:row>
    <x:row r="66" ht="13.149999618530273" customHeight="1">
      <x:c r="G66" s="138"/>
      <x:c r="H66"/>
      <x:c r="I66" s="153"/>
      <x:c r="J66" s="146"/>
      <x:c r="K66"/>
      <x:c r="L66"/>
      <x:c r="M66" s="146"/>
      <x:c r="N66"/>
      <x:c r="O66" s="156"/>
    </x:row>
    <x:row r="67" ht="13.149999618530273" customHeight="1">
      <x:c r="G67" s="138"/>
      <x:c r="H67"/>
      <x:c r="I67" s="153"/>
      <x:c r="J67" s="146"/>
      <x:c r="K67"/>
      <x:c r="L67"/>
      <x:c r="M67" s="146"/>
      <x:c r="N67"/>
      <x:c r="O67" s="156"/>
    </x:row>
    <x:row r="68" ht="13.149999618530273" customHeight="1">
      <x:c r="G68" s="138"/>
      <x:c r="H68"/>
      <x:c r="I68" s="153"/>
      <x:c r="J68" s="146"/>
      <x:c r="K68"/>
      <x:c r="L68"/>
      <x:c r="M68" s="146"/>
      <x:c r="N68"/>
      <x:c r="O68" s="156"/>
    </x:row>
    <x:row r="69" ht="13.149999618530273" customHeight="1">
      <x:c r="G69" s="138"/>
      <x:c r="H69"/>
      <x:c r="I69" s="153"/>
      <x:c r="J69" s="146"/>
      <x:c r="K69"/>
      <x:c r="L69"/>
      <x:c r="M69" s="146"/>
      <x:c r="N69"/>
      <x:c r="O69" s="156"/>
    </x:row>
    <x:row r="70" ht="13.149999618530273" customHeight="1">
      <x:c r="G70" s="138"/>
      <x:c r="H70"/>
      <x:c r="I70" s="153"/>
      <x:c r="J70" s="146"/>
      <x:c r="K70"/>
      <x:c r="L70"/>
      <x:c r="M70" s="146"/>
      <x:c r="N70"/>
      <x:c r="O70" s="156"/>
    </x:row>
    <x:row r="71" ht="13.149999618530273" customHeight="1">
      <x:c r="G71" s="138"/>
      <x:c r="H71"/>
      <x:c r="I71" s="153"/>
      <x:c r="J71" s="146"/>
      <x:c r="K71"/>
      <x:c r="L71"/>
      <x:c r="M71" s="146"/>
      <x:c r="N71"/>
      <x:c r="O71" s="156"/>
    </x:row>
    <x:row r="72" ht="13.149999618530273" customHeight="1">
      <x:c r="G72" s="138"/>
      <x:c r="H72"/>
      <x:c r="I72" s="153"/>
      <x:c r="J72" s="146"/>
      <x:c r="K72"/>
      <x:c r="L72"/>
      <x:c r="M72" s="146"/>
      <x:c r="N72"/>
      <x:c r="O72" s="156"/>
    </x:row>
    <x:row r="73" ht="13.149999618530273" customHeight="1">
      <x:c r="G73" s="138"/>
      <x:c r="H73"/>
      <x:c r="I73" s="153"/>
      <x:c r="J73" s="146"/>
      <x:c r="K73"/>
      <x:c r="L73"/>
      <x:c r="M73" s="146"/>
      <x:c r="N73"/>
      <x:c r="O73" s="156"/>
    </x:row>
    <x:row r="74" ht="13.149999618530273" customHeight="1">
      <x:c r="G74" s="138"/>
      <x:c r="H74"/>
      <x:c r="I74" s="153"/>
      <x:c r="J74" s="146"/>
      <x:c r="K74"/>
      <x:c r="L74"/>
      <x:c r="M74" s="146"/>
      <x:c r="N74"/>
      <x:c r="O74" s="156"/>
    </x:row>
    <x:row r="75" ht="13.149999618530273" customHeight="1">
      <x:c r="G75" s="138"/>
      <x:c r="H75"/>
      <x:c r="I75" s="153"/>
      <x:c r="J75" s="146"/>
      <x:c r="K75"/>
      <x:c r="L75"/>
      <x:c r="M75" s="146"/>
      <x:c r="N75"/>
      <x:c r="O75" s="156"/>
    </x:row>
    <x:row r="76" ht="13.149999618530273" customHeight="1">
      <x:c r="G76" s="138"/>
      <x:c r="H76"/>
      <x:c r="I76" s="153"/>
      <x:c r="J76" s="146"/>
      <x:c r="K76"/>
      <x:c r="L76"/>
      <x:c r="M76" s="146"/>
      <x:c r="N76"/>
      <x:c r="O76" s="156"/>
    </x:row>
    <x:row r="77" ht="13.149999618530273" customHeight="1">
      <x:c r="G77" s="138"/>
      <x:c r="H77"/>
      <x:c r="I77" s="153"/>
      <x:c r="J77" s="146"/>
      <x:c r="K77"/>
      <x:c r="L77"/>
      <x:c r="M77" s="146"/>
      <x:c r="N77"/>
      <x:c r="O77" s="156"/>
    </x:row>
    <x:row r="78" ht="13.149999618530273" customHeight="1">
      <x:c r="G78" s="138"/>
      <x:c r="H78"/>
      <x:c r="I78" s="153"/>
      <x:c r="J78" s="146"/>
      <x:c r="K78"/>
      <x:c r="L78"/>
      <x:c r="M78" s="146"/>
      <x:c r="N78"/>
      <x:c r="O78" s="156"/>
    </x:row>
    <x:row r="79" ht="13.149999618530273" customHeight="1">
      <x:c r="G79" s="138"/>
      <x:c r="H79"/>
      <x:c r="I79" s="153"/>
      <x:c r="J79" s="146"/>
      <x:c r="K79"/>
      <x:c r="L79"/>
      <x:c r="M79" s="146"/>
      <x:c r="N79"/>
      <x:c r="O79" s="156"/>
    </x:row>
    <x:row r="80" ht="13.149999618530273" customHeight="1">
      <x:c r="G80" s="138"/>
      <x:c r="H80"/>
      <x:c r="I80" s="153"/>
      <x:c r="J80" s="146"/>
      <x:c r="K80"/>
      <x:c r="L80"/>
      <x:c r="M80" s="146"/>
      <x:c r="N80"/>
      <x:c r="O80" s="156"/>
    </x:row>
    <x:row r="81" ht="13.149999618530273" customHeight="1">
      <x:c r="G81" s="138"/>
      <x:c r="H81"/>
      <x:c r="I81" s="153"/>
      <x:c r="J81" s="146"/>
      <x:c r="K81"/>
      <x:c r="L81"/>
      <x:c r="M81" s="146"/>
      <x:c r="N81"/>
      <x:c r="O81" s="156"/>
    </x:row>
    <x:row r="82" ht="13.149999618530273" customHeight="1">
      <x:c r="G82" s="138"/>
      <x:c r="H82"/>
      <x:c r="I82" s="153"/>
      <x:c r="J82" s="146"/>
      <x:c r="K82"/>
      <x:c r="L82"/>
      <x:c r="M82" s="146"/>
      <x:c r="N82"/>
      <x:c r="O82" s="156"/>
    </x:row>
    <x:row r="83" ht="13.149999618530273" customHeight="1">
      <x:c r="G83" s="138"/>
      <x:c r="H83"/>
      <x:c r="I83" s="153"/>
      <x:c r="J83" s="146"/>
      <x:c r="K83"/>
      <x:c r="L83"/>
      <x:c r="M83" s="146"/>
      <x:c r="N83"/>
      <x:c r="O83" s="156"/>
    </x:row>
    <x:row r="84" ht="13.149999618530273" customHeight="1">
      <x:c r="G84" s="138"/>
      <x:c r="H84"/>
      <x:c r="I84" s="153"/>
      <x:c r="J84" s="146"/>
      <x:c r="K84"/>
      <x:c r="L84"/>
      <x:c r="M84" s="146"/>
      <x:c r="N84"/>
      <x:c r="O84" s="156"/>
    </x:row>
    <x:row r="85" ht="13.149999618530273" customHeight="1">
      <x:c r="G85" s="138"/>
      <x:c r="H85"/>
      <x:c r="I85" s="153"/>
      <x:c r="J85" s="146"/>
      <x:c r="K85"/>
      <x:c r="L85"/>
      <x:c r="M85" s="146"/>
      <x:c r="N85"/>
      <x:c r="O85" s="156"/>
    </x:row>
    <x:row r="86" ht="13.149999618530273" customHeight="1">
      <x:c r="G86" s="138"/>
      <x:c r="H86"/>
      <x:c r="I86" s="153"/>
      <x:c r="J86" s="146"/>
      <x:c r="K86"/>
      <x:c r="L86"/>
      <x:c r="M86" s="146"/>
      <x:c r="N86"/>
      <x:c r="O86" s="156"/>
    </x:row>
    <x:row r="87" ht="13.149999618530273" customHeight="1">
      <x:c r="G87" s="138"/>
      <x:c r="H87"/>
      <x:c r="I87" s="153"/>
      <x:c r="J87" s="146"/>
      <x:c r="K87"/>
      <x:c r="L87"/>
      <x:c r="M87" s="146"/>
      <x:c r="N87"/>
      <x:c r="O87" s="156"/>
    </x:row>
    <x:row r="88" ht="13.149999618530273" customHeight="1">
      <x:c r="G88" s="138"/>
      <x:c r="H88"/>
      <x:c r="I88" s="153"/>
      <x:c r="J88" s="146"/>
      <x:c r="K88"/>
      <x:c r="L88"/>
      <x:c r="M88" s="146"/>
      <x:c r="N88"/>
      <x:c r="O88" s="156"/>
    </x:row>
    <x:row r="89" ht="13.149999618530273" customHeight="1">
      <x:c r="G89" s="138"/>
      <x:c r="H89"/>
      <x:c r="I89" s="153"/>
      <x:c r="J89" s="146"/>
      <x:c r="K89"/>
      <x:c r="L89"/>
      <x:c r="M89" s="146"/>
      <x:c r="N89"/>
      <x:c r="O89" s="156"/>
    </x:row>
    <x:row r="90" ht="13.149999618530273" customHeight="1">
      <x:c r="G90" s="138"/>
      <x:c r="H90"/>
      <x:c r="I90" s="153"/>
      <x:c r="J90" s="146"/>
      <x:c r="K90"/>
      <x:c r="L90"/>
      <x:c r="M90" s="146"/>
      <x:c r="N90"/>
      <x:c r="O90" s="156"/>
    </x:row>
    <x:row r="91" ht="13.149999618530273" customHeight="1">
      <x:c r="G91" s="138"/>
      <x:c r="H91"/>
      <x:c r="I91" s="153"/>
      <x:c r="J91" s="146"/>
      <x:c r="K91"/>
      <x:c r="L91"/>
      <x:c r="M91" s="146"/>
      <x:c r="N91"/>
      <x:c r="O91" s="156"/>
    </x:row>
    <x:row r="92" ht="13.149999618530273" customHeight="1">
      <x:c r="G92" s="138"/>
      <x:c r="H92"/>
      <x:c r="I92" s="153"/>
      <x:c r="J92" s="146"/>
      <x:c r="K92"/>
      <x:c r="L92"/>
      <x:c r="M92" s="146"/>
      <x:c r="N92"/>
      <x:c r="O92" s="156"/>
    </x:row>
    <x:row r="93" ht="13.149999618530273" customHeight="1">
      <x:c r="G93" s="138"/>
      <x:c r="H93"/>
      <x:c r="I93" s="153"/>
      <x:c r="J93" s="146"/>
      <x:c r="K93"/>
      <x:c r="L93"/>
      <x:c r="M93" s="146"/>
      <x:c r="N93"/>
      <x:c r="O93" s="156"/>
    </x:row>
    <x:row r="94" ht="13.149999618530273" customHeight="1">
      <x:c r="G94" s="138"/>
      <x:c r="H94"/>
      <x:c r="I94" s="153"/>
      <x:c r="J94" s="146"/>
      <x:c r="K94"/>
      <x:c r="L94"/>
      <x:c r="M94" s="146"/>
      <x:c r="N94"/>
      <x:c r="O94" s="156"/>
    </x:row>
    <x:row r="95" ht="13.149999618530273" customHeight="1">
      <x:c r="G95" s="138"/>
      <x:c r="H95"/>
      <x:c r="I95" s="153"/>
      <x:c r="J95" s="146"/>
      <x:c r="K95"/>
      <x:c r="L95"/>
      <x:c r="M95" s="146"/>
      <x:c r="N95"/>
      <x:c r="O95" s="156"/>
    </x:row>
    <x:row r="96" ht="13.149999618530273" customHeight="1">
      <x:c r="G96" s="138"/>
      <x:c r="H96"/>
      <x:c r="I96" s="153"/>
      <x:c r="J96" s="146"/>
      <x:c r="K96"/>
      <x:c r="L96"/>
      <x:c r="M96" s="146"/>
      <x:c r="N96"/>
      <x:c r="O96" s="156"/>
    </x:row>
    <x:row r="97" ht="13.149999618530273" customHeight="1">
      <x:c r="G97" s="138"/>
      <x:c r="H97"/>
      <x:c r="I97" s="153"/>
      <x:c r="J97" s="146"/>
      <x:c r="K97"/>
      <x:c r="L97"/>
      <x:c r="M97" s="146"/>
      <x:c r="N97"/>
      <x:c r="O97" s="156"/>
    </x:row>
    <x:row r="98" ht="13.149999618530273" customHeight="1">
      <x:c r="G98" s="138"/>
      <x:c r="H98"/>
      <x:c r="I98" s="153"/>
      <x:c r="J98" s="146"/>
      <x:c r="K98"/>
      <x:c r="L98"/>
      <x:c r="M98" s="146"/>
      <x:c r="N98"/>
      <x:c r="O98" s="156"/>
    </x:row>
    <x:row r="99" ht="13.149999618530273" customHeight="1">
      <x:c r="G99" s="138"/>
      <x:c r="H99"/>
      <x:c r="I99" s="153"/>
      <x:c r="J99" s="146"/>
      <x:c r="K99"/>
      <x:c r="L99"/>
      <x:c r="M99" s="146"/>
      <x:c r="N99"/>
      <x:c r="O99" s="156"/>
    </x:row>
    <x:row r="100" ht="13.149999618530273" customHeight="1">
      <x:c r="G100" s="138"/>
      <x:c r="H100"/>
      <x:c r="I100" s="153"/>
      <x:c r="J100" s="146"/>
      <x:c r="K100"/>
      <x:c r="L100"/>
      <x:c r="M100" s="146"/>
      <x:c r="N100"/>
      <x:c r="O100" s="156"/>
    </x:row>
  </x:sheetData>
  <x:mergeCells>
    <x:mergeCell ref="B3:E3"/>
    <x:mergeCell ref="B2:E2"/>
    <x:mergeCell ref="B4:E4"/>
  </x:mergeCells>
  <x:dataValidations count="1">
    <x:dataValidation type="list" allowBlank="1" sqref="F11:F64 I11:I64 L11:L64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755ae62f14e940c2"/>
</x:worksheet>
</file>

<file path=xl/worksheets/sheet9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52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781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36" customHeight="1">
      <x:c r="A3" s="83" t="s">
        <x:v>111</x:v>
      </x:c>
      <x:c r="B3" s="133" t="s">
        <x:v>782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7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3</x:v>
      </x:c>
      <x:c r="C6" s="90" t="n">
        <x:v>1</x:v>
      </x:c>
      <x:c r="D6" s="90" t="n">
        <x:v>0</x:v>
      </x:c>
      <x:c r="E6" s="91" t="n">
        <x:v>3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 t="str">
        <x:v>Round 2</x:v>
      </x:c>
      <x:c r="B7" s="90" t="n">
        <x:v>4</x:v>
      </x:c>
      <x:c r="C7" s="90" t="n">
        <x:v>0</x:v>
      </x:c>
      <x:c r="D7" s="90" t="n">
        <x:v>0</x:v>
      </x:c>
      <x:c r="E7" s="91" t="n">
        <x:v>3</x:v>
      </x:c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149" t="str">
        <x:v>Round 2</x:v>
      </x:c>
      <x:c r="J10" s="150" t="str">
        <x:v>Test date</x:v>
      </x:c>
      <x:c r="K10" s="149" t="str">
        <x:v>Tester</x:v>
      </x:c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100</x:v>
      </x:c>
      <x:c r="B11" s="98"/>
      <x:c r="C11" s="99"/>
      <x:c r="D11" s="99"/>
      <x:c r="E11" s="99"/>
      <x:c r="F11" s="99"/>
      <x:c r="G11" s="144"/>
      <x:c r="H11" s="99"/>
      <x:c r="I11" s="151"/>
      <x:c r="J11" s="144"/>
      <x:c r="K11" s="99"/>
      <x:c r="L11" s="99"/>
      <x:c r="M11" s="144"/>
      <x:c r="N11" s="99"/>
      <x:c r="O11" s="154"/>
    </x:row>
    <x:row r="12" ht="84" customHeight="1">
      <x:c r="A12" s="101" t="s">
        <x:v>783</x:v>
      </x:c>
      <x:c r="B12" s="37" t="s">
        <x:v>784</x:v>
      </x:c>
      <x:c r="C12" s="37" t="s">
        <x:v>785</x:v>
      </x:c>
      <x:c r="D12" s="102" t="s">
        <x:v>786</x:v>
      </x:c>
      <x:c r="E12" s="102" t="s">
        <x:v>787</x:v>
      </x:c>
      <x:c r="F12" s="101" t="str">
        <x:v>Passed</x:v>
      </x:c>
      <x:c r="G12" s="145" t="n">
        <x:v>46323</x:v>
      </x:c>
      <x:c r="H12" s="101" t="str">
        <x:v>Minh Trí</x:v>
      </x:c>
      <x:c r="I12" s="152" t="str">
        <x:v>Passed</x:v>
      </x:c>
      <x:c r="J12" s="145" t="n">
        <x:v>46325</x:v>
      </x:c>
      <x:c r="K12" s="101" t="str">
        <x:v>Minh Trí</x:v>
      </x:c>
      <x:c r="L12" s="101"/>
      <x:c r="M12" s="145"/>
      <x:c r="N12" s="101"/>
      <x:c r="O12" s="155" t="str">
        <x:v>Round 2: đạt; có bằng chứng trong Postman log/JUnit.</x:v>
      </x:c>
      <x:c r="Q12" s="100"/>
    </x:row>
    <x:row r="13" ht="48" customHeight="1">
      <x:c r="A13" s="101" t="s">
        <x:v>788</x:v>
      </x:c>
      <x:c r="B13" s="37" t="s">
        <x:v>789</x:v>
      </x:c>
      <x:c r="C13" s="37" t="s">
        <x:v>790</x:v>
      </x:c>
      <x:c r="D13" s="102" t="s">
        <x:v>791</x:v>
      </x:c>
      <x:c r="E13" s="102" t="s">
        <x:v>32</x:v>
      </x:c>
      <x:c r="F13" s="101" t="str">
        <x:v>N/A</x:v>
      </x:c>
      <x:c r="G13" s="145"/>
      <x:c r="H13" s="101"/>
      <x:c r="I13" s="152" t="str">
        <x:v>N/A</x:v>
      </x:c>
      <x:c r="J13" s="145"/>
      <x:c r="K13" s="101"/>
      <x:c r="L13" s="101"/>
      <x:c r="M13" s="145"/>
      <x:c r="N13" s="101"/>
      <x:c r="O13" s="155" t="str">
        <x:v>Không áp dụng theo phạm vi SRS hiện tại.</x:v>
      </x:c>
      <x:c r="Q13" s="103"/>
    </x:row>
    <x:row r="14" ht="48" customHeight="1">
      <x:c r="A14" s="101" t="s">
        <x:v>792</x:v>
      </x:c>
      <x:c r="B14" s="37" t="s">
        <x:v>793</x:v>
      </x:c>
      <x:c r="C14" s="37" t="s">
        <x:v>794</x:v>
      </x:c>
      <x:c r="D14" s="102" t="s">
        <x:v>795</x:v>
      </x:c>
      <x:c r="E14" s="102" t="s">
        <x:v>796</x:v>
      </x:c>
      <x:c r="F14" s="101" t="str">
        <x:v>N/A</x:v>
      </x:c>
      <x:c r="G14" s="145"/>
      <x:c r="H14" s="101"/>
      <x:c r="I14" s="152" t="str">
        <x:v>N/A</x:v>
      </x:c>
      <x:c r="J14" s="145"/>
      <x:c r="K14" s="101"/>
      <x:c r="L14" s="101"/>
      <x:c r="M14" s="145"/>
      <x:c r="N14" s="101"/>
      <x:c r="O14" s="155" t="str">
        <x:v>Không áp dụng theo phạm vi SRS hiện tại.</x:v>
      </x:c>
    </x:row>
    <x:row r="15" ht="12.75" customHeight="1">
      <x:c r="A15" s="98" t="s">
        <x:v>103</x:v>
      </x:c>
      <x:c r="B15" s="98"/>
      <x:c r="C15" s="99"/>
      <x:c r="D15" s="99"/>
      <x:c r="E15" s="99"/>
      <x:c r="F15" s="99"/>
      <x:c r="G15" s="144"/>
      <x:c r="H15" s="99"/>
      <x:c r="I15" s="151"/>
      <x:c r="J15" s="144"/>
      <x:c r="K15" s="99"/>
      <x:c r="L15" s="99"/>
      <x:c r="M15" s="144"/>
      <x:c r="N15" s="99"/>
      <x:c r="O15" s="154"/>
    </x:row>
    <x:row r="16" ht="156" customHeight="1">
      <x:c r="A16" s="101" t="s">
        <x:v>797</x:v>
      </x:c>
      <x:c r="B16" s="37" t="s">
        <x:v>798</x:v>
      </x:c>
      <x:c r="C16" s="37" t="s">
        <x:v>799</x:v>
      </x:c>
      <x:c r="D16" s="102" t="s">
        <x:v>800</x:v>
      </x:c>
      <x:c r="E16" s="102" t="s">
        <x:v>801</x:v>
      </x:c>
      <x:c r="F16" s="101" t="str">
        <x:v>Passed</x:v>
      </x:c>
      <x:c r="G16" s="145" t="n">
        <x:v>46323</x:v>
      </x:c>
      <x:c r="H16" s="101" t="str">
        <x:v>Minh Trí</x:v>
      </x:c>
      <x:c r="I16" s="152" t="str">
        <x:v>Passed</x:v>
      </x:c>
      <x:c r="J16" s="145" t="n">
        <x:v>46325</x:v>
      </x:c>
      <x:c r="K16" s="101" t="str">
        <x:v>Minh Trí</x:v>
      </x:c>
      <x:c r="L16" s="101"/>
      <x:c r="M16" s="145"/>
      <x:c r="N16" s="101"/>
      <x:c r="O16" s="155" t="str">
        <x:v>Round 2: đạt; có bằng chứng trong Postman log/JUnit.</x:v>
      </x:c>
    </x:row>
    <x:row r="17" ht="144" customHeight="1">
      <x:c r="A17" s="101" t="s">
        <x:v>802</x:v>
      </x:c>
      <x:c r="B17" s="37" t="s">
        <x:v>803</x:v>
      </x:c>
      <x:c r="C17" s="37" t="s">
        <x:v>804</x:v>
      </x:c>
      <x:c r="D17" s="102" t="s">
        <x:v>805</x:v>
      </x:c>
      <x:c r="E17" s="102" t="s">
        <x:v>806</x:v>
      </x:c>
      <x:c r="F17" s="101" t="str">
        <x:v>Passed</x:v>
      </x:c>
      <x:c r="G17" s="145" t="n">
        <x:v>46323</x:v>
      </x:c>
      <x:c r="H17" s="101" t="str">
        <x:v>Minh Trí</x:v>
      </x:c>
      <x:c r="I17" s="152" t="str">
        <x:v>Passed</x:v>
      </x:c>
      <x:c r="J17" s="145" t="n">
        <x:v>46325</x:v>
      </x:c>
      <x:c r="K17" s="101" t="str">
        <x:v>Minh Trí</x:v>
      </x:c>
      <x:c r="L17" s="101"/>
      <x:c r="M17" s="145"/>
      <x:c r="N17" s="101"/>
      <x:c r="O17" s="155" t="str">
        <x:v>Round 2: đạt; có bằng chứng trong Postman log/JUnit.</x:v>
      </x:c>
    </x:row>
    <x:row r="18" ht="48" customHeight="1">
      <x:c r="A18" s="101" t="s">
        <x:v>807</x:v>
      </x:c>
      <x:c r="B18" s="37" t="s">
        <x:v>808</x:v>
      </x:c>
      <x:c r="C18" s="37" t="s">
        <x:v>809</x:v>
      </x:c>
      <x:c r="D18" s="102" t="s">
        <x:v>810</x:v>
      </x:c>
      <x:c r="E18" s="102" t="s">
        <x:v>32</x:v>
      </x:c>
      <x:c r="F18" s="101" t="str">
        <x:v>N/A</x:v>
      </x:c>
      <x:c r="G18" s="145"/>
      <x:c r="H18" s="101"/>
      <x:c r="I18" s="152" t="str">
        <x:v>N/A</x:v>
      </x:c>
      <x:c r="J18" s="145"/>
      <x:c r="K18" s="101"/>
      <x:c r="L18" s="101"/>
      <x:c r="M18" s="145"/>
      <x:c r="N18" s="101"/>
      <x:c r="O18" s="155" t="str">
        <x:v>Không áp dụng theo phạm vi SRS hiện tại.</x:v>
      </x:c>
    </x:row>
    <x:row r="19" ht="60" customHeight="1">
      <x:c r="A19" s="101" t="s">
        <x:v>811</x:v>
      </x:c>
      <x:c r="B19" s="37" t="s">
        <x:v>812</x:v>
      </x:c>
      <x:c r="C19" s="37" t="s">
        <x:v>813</x:v>
      </x:c>
      <x:c r="D19" s="102" t="s">
        <x:v>814</x:v>
      </x:c>
      <x:c r="E19" s="102" t="s">
        <x:v>32</x:v>
      </x:c>
      <x:c r="F19" s="101" t="str">
        <x:v>Failed</x:v>
      </x:c>
      <x:c r="G19" s="145" t="n">
        <x:v>46323</x:v>
      </x:c>
      <x:c r="H19" s="101" t="str">
        <x:v>Minh Trí</x:v>
      </x:c>
      <x:c r="I19" s="152" t="str">
        <x:v>Passed</x:v>
      </x:c>
      <x:c r="J19" s="145" t="n">
        <x:v>46325</x:v>
      </x:c>
      <x:c r="K19" s="101" t="str">
        <x:v>Minh Trí</x:v>
      </x:c>
      <x:c r="L19" s="101"/>
      <x:c r="M19" s="145"/>
      <x:c r="N19" s="101"/>
      <x:c r="O19" s="155" t="str">
        <x:v>Round 2: đạt; có bằng chứng trong Postman log/JUnit.</x:v>
      </x:c>
    </x:row>
    <x:row r="20" ht="13.149999618530273" customHeight="1">
      <x:c r="G20" s="138"/>
      <x:c r="H20"/>
      <x:c r="I20" s="153"/>
      <x:c r="J20" s="146"/>
      <x:c r="K20"/>
      <x:c r="L20"/>
      <x:c r="M20" s="146"/>
      <x:c r="N20"/>
      <x:c r="O20" s="156"/>
    </x:row>
    <x:row r="21" ht="13.149999618530273" customHeight="1">
      <x:c r="G21" s="138"/>
      <x:c r="H21"/>
      <x:c r="I21" s="153"/>
      <x:c r="J21" s="146"/>
      <x:c r="K21"/>
      <x:c r="L21"/>
      <x:c r="M21" s="146"/>
      <x:c r="N21"/>
      <x:c r="O21" s="156"/>
    </x:row>
    <x:row r="22" ht="13.149999618530273" customHeight="1">
      <x:c r="G22" s="138"/>
      <x:c r="H22"/>
      <x:c r="I22" s="153"/>
      <x:c r="J22" s="146"/>
      <x:c r="K22"/>
      <x:c r="L22"/>
      <x:c r="M22" s="146"/>
      <x:c r="N22"/>
      <x:c r="O22" s="156"/>
    </x:row>
    <x:row r="23" ht="13.149999618530273" customHeight="1">
      <x:c r="G23" s="138"/>
      <x:c r="H23"/>
      <x:c r="I23" s="153"/>
      <x:c r="J23" s="146"/>
      <x:c r="K23"/>
      <x:c r="L23"/>
      <x:c r="M23" s="146"/>
      <x:c r="N23"/>
      <x:c r="O23" s="156"/>
    </x:row>
    <x:row r="24" ht="13.149999618530273" customHeight="1">
      <x:c r="G24" s="138"/>
      <x:c r="H24"/>
      <x:c r="I24" s="153"/>
      <x:c r="J24" s="146"/>
      <x:c r="K24"/>
      <x:c r="L24"/>
      <x:c r="M24" s="146"/>
      <x:c r="N24"/>
      <x:c r="O24" s="156"/>
    </x:row>
    <x:row r="25" ht="13.149999618530273" customHeight="1">
      <x:c r="G25" s="138"/>
      <x:c r="H25"/>
      <x:c r="I25" s="153"/>
      <x:c r="J25" s="146"/>
      <x:c r="K25"/>
      <x:c r="L25"/>
      <x:c r="M25" s="146"/>
      <x:c r="N25"/>
      <x:c r="O25" s="156"/>
    </x:row>
    <x:row r="26" ht="13.149999618530273" customHeight="1">
      <x:c r="G26" s="138"/>
      <x:c r="H26"/>
      <x:c r="I26" s="153"/>
      <x:c r="J26" s="146"/>
      <x:c r="K26"/>
      <x:c r="L26"/>
      <x:c r="M26" s="146"/>
      <x:c r="N26"/>
      <x:c r="O26" s="156"/>
    </x:row>
    <x:row r="27" ht="13.149999618530273" customHeight="1">
      <x:c r="G27" s="138"/>
      <x:c r="H27"/>
      <x:c r="I27" s="153"/>
      <x:c r="J27" s="146"/>
      <x:c r="K27"/>
      <x:c r="L27"/>
      <x:c r="M27" s="146"/>
      <x:c r="N27"/>
      <x:c r="O27" s="156"/>
    </x:row>
    <x:row r="28" ht="13.149999618530273" customHeight="1">
      <x:c r="G28" s="138"/>
      <x:c r="H28"/>
      <x:c r="I28" s="153"/>
      <x:c r="J28" s="146"/>
      <x:c r="K28"/>
      <x:c r="L28"/>
      <x:c r="M28" s="146"/>
      <x:c r="N28"/>
      <x:c r="O28" s="156"/>
    </x:row>
    <x:row r="29" ht="13.149999618530273" customHeight="1">
      <x:c r="G29" s="138"/>
      <x:c r="H29"/>
      <x:c r="I29" s="153"/>
      <x:c r="J29" s="146"/>
      <x:c r="K29"/>
      <x:c r="L29"/>
      <x:c r="M29" s="146"/>
      <x:c r="N29"/>
      <x:c r="O29" s="156"/>
    </x:row>
    <x:row r="30" ht="13.149999618530273" customHeight="1">
      <x:c r="G30" s="138"/>
      <x:c r="H30"/>
      <x:c r="I30" s="153"/>
      <x:c r="J30" s="146"/>
      <x:c r="K30"/>
      <x:c r="L30"/>
      <x:c r="M30" s="146"/>
      <x:c r="N30"/>
      <x:c r="O30" s="156"/>
    </x:row>
    <x:row r="31" ht="13.149999618530273" customHeight="1">
      <x:c r="G31" s="138"/>
      <x:c r="H31"/>
      <x:c r="I31" s="153"/>
      <x:c r="J31" s="146"/>
      <x:c r="K31"/>
      <x:c r="L31"/>
      <x:c r="M31" s="146"/>
      <x:c r="N31"/>
      <x:c r="O31" s="156"/>
    </x:row>
    <x:row r="32" ht="13.149999618530273" customHeight="1">
      <x:c r="G32" s="138"/>
      <x:c r="H32"/>
      <x:c r="I32" s="153"/>
      <x:c r="J32" s="146"/>
      <x:c r="K32"/>
      <x:c r="L32"/>
      <x:c r="M32" s="146"/>
      <x:c r="N32"/>
      <x:c r="O32" s="156"/>
    </x:row>
    <x:row r="33" ht="13.149999618530273" customHeight="1">
      <x:c r="G33" s="138"/>
      <x:c r="H33"/>
      <x:c r="I33" s="153"/>
      <x:c r="J33" s="146"/>
      <x:c r="K33"/>
      <x:c r="L33"/>
      <x:c r="M33" s="146"/>
      <x:c r="N33"/>
      <x:c r="O33" s="156"/>
    </x:row>
    <x:row r="34" ht="13.149999618530273" customHeight="1">
      <x:c r="G34" s="138"/>
      <x:c r="H34"/>
      <x:c r="I34" s="153"/>
      <x:c r="J34" s="146"/>
      <x:c r="K34"/>
      <x:c r="L34"/>
      <x:c r="M34" s="146"/>
      <x:c r="N34"/>
      <x:c r="O34" s="156"/>
    </x:row>
    <x:row r="35" ht="13.149999618530273" customHeight="1">
      <x:c r="G35" s="138"/>
      <x:c r="H35"/>
      <x:c r="I35" s="153"/>
      <x:c r="J35" s="146"/>
      <x:c r="K35"/>
      <x:c r="L35"/>
      <x:c r="M35" s="146"/>
      <x:c r="N35"/>
      <x:c r="O35" s="156"/>
    </x:row>
    <x:row r="36" ht="13.149999618530273" customHeight="1">
      <x:c r="G36" s="138"/>
      <x:c r="H36"/>
      <x:c r="I36" s="153"/>
      <x:c r="J36" s="146"/>
      <x:c r="K36"/>
      <x:c r="L36"/>
      <x:c r="M36" s="146"/>
      <x:c r="N36"/>
      <x:c r="O36" s="156"/>
    </x:row>
    <x:row r="37" ht="13.149999618530273" customHeight="1">
      <x:c r="G37" s="138"/>
      <x:c r="H37"/>
      <x:c r="I37" s="153"/>
      <x:c r="J37" s="146"/>
      <x:c r="K37"/>
      <x:c r="L37"/>
      <x:c r="M37" s="146"/>
      <x:c r="N37"/>
      <x:c r="O37" s="156"/>
    </x:row>
    <x:row r="38" ht="13.149999618530273" customHeight="1">
      <x:c r="G38" s="138"/>
      <x:c r="H38"/>
      <x:c r="I38" s="153"/>
      <x:c r="J38" s="146"/>
      <x:c r="K38"/>
      <x:c r="L38"/>
      <x:c r="M38" s="146"/>
      <x:c r="N38"/>
      <x:c r="O38" s="156"/>
    </x:row>
    <x:row r="39" ht="13.149999618530273" customHeight="1">
      <x:c r="G39" s="138"/>
      <x:c r="H39"/>
      <x:c r="I39" s="153"/>
      <x:c r="J39" s="146"/>
      <x:c r="K39"/>
      <x:c r="L39"/>
      <x:c r="M39" s="146"/>
      <x:c r="N39"/>
      <x:c r="O39" s="156"/>
    </x:row>
    <x:row r="40" ht="13.149999618530273" customHeight="1">
      <x:c r="G40" s="138"/>
      <x:c r="H40"/>
      <x:c r="I40" s="153"/>
      <x:c r="J40" s="146"/>
      <x:c r="K40"/>
      <x:c r="L40"/>
      <x:c r="M40" s="146"/>
      <x:c r="N40"/>
      <x:c r="O40" s="156"/>
    </x:row>
    <x:row r="41" ht="13.149999618530273" customHeight="1">
      <x:c r="G41" s="138"/>
      <x:c r="H41"/>
      <x:c r="I41" s="153"/>
      <x:c r="J41" s="146"/>
      <x:c r="K41"/>
      <x:c r="L41"/>
      <x:c r="M41" s="146"/>
      <x:c r="N41"/>
      <x:c r="O41" s="156"/>
    </x:row>
    <x:row r="42" ht="13.149999618530273" customHeight="1">
      <x:c r="G42" s="138"/>
      <x:c r="H42"/>
      <x:c r="I42" s="153"/>
      <x:c r="J42" s="146"/>
      <x:c r="K42"/>
      <x:c r="L42"/>
      <x:c r="M42" s="146"/>
      <x:c r="N42"/>
      <x:c r="O42" s="156"/>
    </x:row>
    <x:row r="43" ht="13.149999618530273" customHeight="1">
      <x:c r="G43" s="138"/>
      <x:c r="H43"/>
      <x:c r="I43" s="153"/>
      <x:c r="J43" s="146"/>
      <x:c r="K43"/>
      <x:c r="L43"/>
      <x:c r="M43" s="146"/>
      <x:c r="N43"/>
      <x:c r="O43" s="156"/>
    </x:row>
    <x:row r="44" ht="13.149999618530273" customHeight="1">
      <x:c r="G44" s="138"/>
      <x:c r="H44"/>
      <x:c r="I44" s="153"/>
      <x:c r="J44" s="146"/>
      <x:c r="K44"/>
      <x:c r="L44"/>
      <x:c r="M44" s="146"/>
      <x:c r="N44"/>
      <x:c r="O44" s="156"/>
    </x:row>
    <x:row r="45" ht="13.149999618530273" customHeight="1">
      <x:c r="G45" s="138"/>
      <x:c r="H45"/>
      <x:c r="I45" s="153"/>
      <x:c r="J45" s="146"/>
      <x:c r="K45"/>
      <x:c r="L45"/>
      <x:c r="M45" s="146"/>
      <x:c r="N45"/>
      <x:c r="O45" s="156"/>
    </x:row>
    <x:row r="46" ht="13.149999618530273" customHeight="1">
      <x:c r="G46" s="138"/>
      <x:c r="H46"/>
      <x:c r="I46" s="153"/>
      <x:c r="J46" s="146"/>
      <x:c r="K46"/>
      <x:c r="L46"/>
      <x:c r="M46" s="146"/>
      <x:c r="N46"/>
      <x:c r="O46" s="156"/>
    </x:row>
    <x:row r="47" ht="13.149999618530273" customHeight="1">
      <x:c r="G47" s="138"/>
      <x:c r="H47"/>
      <x:c r="I47" s="153"/>
      <x:c r="J47" s="146"/>
      <x:c r="K47"/>
      <x:c r="L47"/>
      <x:c r="M47" s="146"/>
      <x:c r="N47"/>
      <x:c r="O47" s="156"/>
    </x:row>
    <x:row r="48" ht="13.149999618530273" customHeight="1">
      <x:c r="G48" s="138"/>
      <x:c r="H48"/>
      <x:c r="I48" s="153"/>
      <x:c r="J48" s="146"/>
      <x:c r="K48"/>
      <x:c r="L48"/>
      <x:c r="M48" s="146"/>
      <x:c r="N48"/>
      <x:c r="O48" s="156"/>
    </x:row>
    <x:row r="49" ht="13.149999618530273" customHeight="1">
      <x:c r="G49" s="138"/>
      <x:c r="H49"/>
      <x:c r="I49" s="153"/>
      <x:c r="J49" s="146"/>
      <x:c r="K49"/>
      <x:c r="L49"/>
      <x:c r="M49" s="146"/>
      <x:c r="N49"/>
      <x:c r="O49" s="156"/>
    </x:row>
    <x:row r="50" ht="13.149999618530273" customHeight="1">
      <x:c r="G50" s="138"/>
      <x:c r="H50"/>
      <x:c r="I50" s="153"/>
      <x:c r="J50" s="146"/>
      <x:c r="K50"/>
      <x:c r="L50"/>
      <x:c r="M50" s="146"/>
      <x:c r="N50"/>
      <x:c r="O50" s="156"/>
    </x:row>
    <x:row r="51" ht="13.149999618530273" customHeight="1">
      <x:c r="G51" s="138"/>
      <x:c r="H51"/>
      <x:c r="I51" s="153"/>
      <x:c r="J51" s="146"/>
      <x:c r="K51"/>
      <x:c r="L51"/>
      <x:c r="M51" s="146"/>
      <x:c r="N51"/>
      <x:c r="O51" s="156"/>
    </x:row>
    <x:row r="52" ht="13.149999618530273" customHeight="1">
      <x:c r="G52" s="138"/>
      <x:c r="H52"/>
      <x:c r="I52" s="153"/>
      <x:c r="J52" s="146"/>
      <x:c r="K52"/>
      <x:c r="L52"/>
      <x:c r="M52" s="146"/>
      <x:c r="N52"/>
      <x:c r="O52" s="156"/>
    </x:row>
    <x:row r="53" ht="13.149999618530273" customHeight="1">
      <x:c r="G53" s="138"/>
      <x:c r="H53"/>
      <x:c r="I53" s="153"/>
      <x:c r="J53" s="146"/>
      <x:c r="K53"/>
      <x:c r="L53"/>
      <x:c r="M53" s="146"/>
      <x:c r="N53"/>
      <x:c r="O53" s="156"/>
    </x:row>
    <x:row r="54" ht="13.149999618530273" customHeight="1">
      <x:c r="G54" s="138"/>
      <x:c r="H54"/>
      <x:c r="I54" s="153"/>
      <x:c r="J54" s="146"/>
      <x:c r="K54"/>
      <x:c r="L54"/>
      <x:c r="M54" s="146"/>
      <x:c r="N54"/>
      <x:c r="O54" s="156"/>
    </x:row>
    <x:row r="55" ht="13.149999618530273" customHeight="1">
      <x:c r="G55" s="138"/>
      <x:c r="H55"/>
      <x:c r="I55" s="153"/>
      <x:c r="J55" s="146"/>
      <x:c r="K55"/>
      <x:c r="L55"/>
      <x:c r="M55" s="146"/>
      <x:c r="N55"/>
      <x:c r="O55" s="156"/>
    </x:row>
    <x:row r="56" ht="13.149999618530273" customHeight="1">
      <x:c r="G56" s="138"/>
      <x:c r="H56"/>
      <x:c r="I56" s="153"/>
      <x:c r="J56" s="146"/>
      <x:c r="K56"/>
      <x:c r="L56"/>
      <x:c r="M56" s="146"/>
      <x:c r="N56"/>
      <x:c r="O56" s="156"/>
    </x:row>
    <x:row r="57" ht="13.149999618530273" customHeight="1">
      <x:c r="G57" s="138"/>
      <x:c r="H57"/>
      <x:c r="I57" s="153"/>
      <x:c r="J57" s="146"/>
      <x:c r="K57"/>
      <x:c r="L57"/>
      <x:c r="M57" s="146"/>
      <x:c r="N57"/>
      <x:c r="O57" s="156"/>
    </x:row>
    <x:row r="58" ht="13.149999618530273" customHeight="1">
      <x:c r="G58" s="138"/>
      <x:c r="H58"/>
      <x:c r="I58" s="153"/>
      <x:c r="J58" s="146"/>
      <x:c r="K58"/>
      <x:c r="L58"/>
      <x:c r="M58" s="146"/>
      <x:c r="N58"/>
      <x:c r="O58" s="156"/>
    </x:row>
    <x:row r="59" ht="13.149999618530273" customHeight="1">
      <x:c r="G59" s="138"/>
      <x:c r="H59"/>
      <x:c r="I59" s="153"/>
      <x:c r="J59" s="146"/>
      <x:c r="K59"/>
      <x:c r="L59"/>
      <x:c r="M59" s="146"/>
      <x:c r="N59"/>
      <x:c r="O59" s="156"/>
    </x:row>
    <x:row r="60" ht="13.149999618530273" customHeight="1">
      <x:c r="G60" s="138"/>
      <x:c r="H60"/>
      <x:c r="I60" s="153"/>
      <x:c r="J60" s="146"/>
      <x:c r="K60"/>
      <x:c r="L60"/>
      <x:c r="M60" s="146"/>
      <x:c r="N60"/>
      <x:c r="O60" s="156"/>
    </x:row>
    <x:row r="61" ht="13.149999618530273" customHeight="1">
      <x:c r="G61" s="138"/>
      <x:c r="H61"/>
      <x:c r="I61" s="153"/>
      <x:c r="J61" s="146"/>
      <x:c r="K61"/>
      <x:c r="L61"/>
      <x:c r="M61" s="146"/>
      <x:c r="N61"/>
      <x:c r="O61" s="156"/>
    </x:row>
    <x:row r="62" ht="13.149999618530273" customHeight="1">
      <x:c r="G62" s="138"/>
      <x:c r="H62"/>
      <x:c r="I62" s="153"/>
      <x:c r="J62" s="146"/>
      <x:c r="K62"/>
      <x:c r="L62"/>
      <x:c r="M62" s="146"/>
      <x:c r="N62"/>
      <x:c r="O62" s="156"/>
    </x:row>
    <x:row r="63" ht="13.149999618530273" customHeight="1">
      <x:c r="G63" s="138"/>
      <x:c r="H63"/>
      <x:c r="I63" s="153"/>
      <x:c r="J63" s="146"/>
      <x:c r="K63"/>
      <x:c r="L63"/>
      <x:c r="M63" s="146"/>
      <x:c r="N63"/>
      <x:c r="O63" s="156"/>
    </x:row>
    <x:row r="64" ht="13.149999618530273" customHeight="1">
      <x:c r="G64" s="138"/>
      <x:c r="H64"/>
      <x:c r="I64" s="153"/>
      <x:c r="J64" s="146"/>
      <x:c r="K64"/>
      <x:c r="L64"/>
      <x:c r="M64" s="146"/>
      <x:c r="N64"/>
      <x:c r="O64" s="156"/>
    </x:row>
    <x:row r="65" ht="13.149999618530273" customHeight="1">
      <x:c r="G65" s="138"/>
      <x:c r="H65"/>
      <x:c r="I65" s="153"/>
      <x:c r="J65" s="146"/>
      <x:c r="K65"/>
      <x:c r="L65"/>
      <x:c r="M65" s="146"/>
      <x:c r="N65"/>
      <x:c r="O65" s="156"/>
    </x:row>
    <x:row r="66" ht="13.149999618530273" customHeight="1">
      <x:c r="G66" s="138"/>
      <x:c r="H66"/>
      <x:c r="I66" s="153"/>
      <x:c r="J66" s="146"/>
      <x:c r="K66"/>
      <x:c r="L66"/>
      <x:c r="M66" s="146"/>
      <x:c r="N66"/>
      <x:c r="O66" s="156"/>
    </x:row>
    <x:row r="67" ht="13.149999618530273" customHeight="1">
      <x:c r="G67" s="138"/>
      <x:c r="H67"/>
      <x:c r="I67" s="153"/>
      <x:c r="J67" s="146"/>
      <x:c r="K67"/>
      <x:c r="L67"/>
      <x:c r="M67" s="146"/>
      <x:c r="N67"/>
      <x:c r="O67" s="156"/>
    </x:row>
    <x:row r="68" ht="13.149999618530273" customHeight="1">
      <x:c r="G68" s="138"/>
      <x:c r="H68"/>
      <x:c r="I68" s="153"/>
      <x:c r="J68" s="146"/>
      <x:c r="K68"/>
      <x:c r="L68"/>
      <x:c r="M68" s="146"/>
      <x:c r="N68"/>
      <x:c r="O68" s="156"/>
    </x:row>
    <x:row r="69" ht="13.149999618530273" customHeight="1">
      <x:c r="G69" s="138"/>
      <x:c r="H69"/>
      <x:c r="I69" s="153"/>
      <x:c r="J69" s="146"/>
      <x:c r="K69"/>
      <x:c r="L69"/>
      <x:c r="M69" s="146"/>
      <x:c r="N69"/>
      <x:c r="O69" s="156"/>
    </x:row>
    <x:row r="70" ht="13.149999618530273" customHeight="1">
      <x:c r="G70" s="138"/>
      <x:c r="H70"/>
      <x:c r="I70" s="153"/>
      <x:c r="J70" s="146"/>
      <x:c r="K70"/>
      <x:c r="L70"/>
      <x:c r="M70" s="146"/>
      <x:c r="N70"/>
      <x:c r="O70" s="156"/>
    </x:row>
    <x:row r="71" ht="13.149999618530273" customHeight="1">
      <x:c r="G71" s="138"/>
      <x:c r="H71"/>
      <x:c r="I71" s="153"/>
      <x:c r="J71" s="146"/>
      <x:c r="K71"/>
      <x:c r="L71"/>
      <x:c r="M71" s="146"/>
      <x:c r="N71"/>
      <x:c r="O71" s="156"/>
    </x:row>
    <x:row r="72" ht="13.149999618530273" customHeight="1">
      <x:c r="G72" s="138"/>
      <x:c r="H72"/>
      <x:c r="I72" s="153"/>
      <x:c r="J72" s="146"/>
      <x:c r="K72"/>
      <x:c r="L72"/>
      <x:c r="M72" s="146"/>
      <x:c r="N72"/>
      <x:c r="O72" s="156"/>
    </x:row>
    <x:row r="73" ht="13.149999618530273" customHeight="1">
      <x:c r="G73" s="138"/>
      <x:c r="H73"/>
      <x:c r="I73" s="153"/>
      <x:c r="J73" s="146"/>
      <x:c r="K73"/>
      <x:c r="L73"/>
      <x:c r="M73" s="146"/>
      <x:c r="N73"/>
      <x:c r="O73" s="156"/>
    </x:row>
    <x:row r="74" ht="13.149999618530273" customHeight="1">
      <x:c r="G74" s="138"/>
      <x:c r="H74"/>
      <x:c r="I74" s="153"/>
      <x:c r="J74" s="146"/>
      <x:c r="K74"/>
      <x:c r="L74"/>
      <x:c r="M74" s="146"/>
      <x:c r="N74"/>
      <x:c r="O74" s="156"/>
    </x:row>
    <x:row r="75" ht="13.149999618530273" customHeight="1">
      <x:c r="G75" s="138"/>
      <x:c r="H75"/>
      <x:c r="I75" s="153"/>
      <x:c r="J75" s="146"/>
      <x:c r="K75"/>
      <x:c r="L75"/>
      <x:c r="M75" s="146"/>
      <x:c r="N75"/>
      <x:c r="O75" s="156"/>
    </x:row>
    <x:row r="76" ht="13.149999618530273" customHeight="1">
      <x:c r="G76" s="138"/>
      <x:c r="H76"/>
      <x:c r="I76" s="153"/>
      <x:c r="J76" s="146"/>
      <x:c r="K76"/>
      <x:c r="L76"/>
      <x:c r="M76" s="146"/>
      <x:c r="N76"/>
      <x:c r="O76" s="156"/>
    </x:row>
    <x:row r="77" ht="13.149999618530273" customHeight="1">
      <x:c r="G77" s="138"/>
      <x:c r="H77"/>
      <x:c r="I77" s="153"/>
      <x:c r="J77" s="146"/>
      <x:c r="K77"/>
      <x:c r="L77"/>
      <x:c r="M77" s="146"/>
      <x:c r="N77"/>
      <x:c r="O77" s="156"/>
    </x:row>
    <x:row r="78" ht="13.149999618530273" customHeight="1">
      <x:c r="G78" s="138"/>
      <x:c r="H78"/>
      <x:c r="I78" s="153"/>
      <x:c r="J78" s="146"/>
      <x:c r="K78"/>
      <x:c r="L78"/>
      <x:c r="M78" s="146"/>
      <x:c r="N78"/>
      <x:c r="O78" s="156"/>
    </x:row>
    <x:row r="79" ht="13.149999618530273" customHeight="1">
      <x:c r="G79" s="138"/>
      <x:c r="H79"/>
      <x:c r="I79" s="153"/>
      <x:c r="J79" s="146"/>
      <x:c r="K79"/>
      <x:c r="L79"/>
      <x:c r="M79" s="146"/>
      <x:c r="N79"/>
      <x:c r="O79" s="156"/>
    </x:row>
    <x:row r="80" ht="13.149999618530273" customHeight="1">
      <x:c r="G80" s="138"/>
      <x:c r="H80"/>
      <x:c r="I80" s="153"/>
      <x:c r="J80" s="146"/>
      <x:c r="K80"/>
      <x:c r="L80"/>
      <x:c r="M80" s="146"/>
      <x:c r="N80"/>
      <x:c r="O80" s="156"/>
    </x:row>
    <x:row r="81" ht="13.149999618530273" customHeight="1">
      <x:c r="G81" s="138"/>
      <x:c r="H81"/>
      <x:c r="I81" s="153"/>
      <x:c r="J81" s="146"/>
      <x:c r="K81"/>
      <x:c r="L81"/>
      <x:c r="M81" s="146"/>
      <x:c r="N81"/>
      <x:c r="O81" s="156"/>
    </x:row>
    <x:row r="82" ht="13.149999618530273" customHeight="1">
      <x:c r="G82" s="138"/>
      <x:c r="H82"/>
      <x:c r="I82" s="153"/>
      <x:c r="J82" s="146"/>
      <x:c r="K82"/>
      <x:c r="L82"/>
      <x:c r="M82" s="146"/>
      <x:c r="N82"/>
      <x:c r="O82" s="156"/>
    </x:row>
    <x:row r="83" ht="13.149999618530273" customHeight="1">
      <x:c r="G83" s="138"/>
      <x:c r="H83"/>
      <x:c r="I83" s="153"/>
      <x:c r="J83" s="146"/>
      <x:c r="K83"/>
      <x:c r="L83"/>
      <x:c r="M83" s="146"/>
      <x:c r="N83"/>
      <x:c r="O83" s="156"/>
    </x:row>
    <x:row r="84" ht="13.149999618530273" customHeight="1">
      <x:c r="G84" s="138"/>
      <x:c r="H84"/>
      <x:c r="I84" s="153"/>
      <x:c r="J84" s="146"/>
      <x:c r="K84"/>
      <x:c r="L84"/>
      <x:c r="M84" s="146"/>
      <x:c r="N84"/>
      <x:c r="O84" s="156"/>
    </x:row>
    <x:row r="85" ht="13.149999618530273" customHeight="1">
      <x:c r="G85" s="138"/>
      <x:c r="H85"/>
      <x:c r="I85" s="153"/>
      <x:c r="J85" s="146"/>
      <x:c r="K85"/>
      <x:c r="L85"/>
      <x:c r="M85" s="146"/>
      <x:c r="N85"/>
      <x:c r="O85" s="156"/>
    </x:row>
    <x:row r="86" ht="13.149999618530273" customHeight="1">
      <x:c r="G86" s="138"/>
      <x:c r="H86"/>
      <x:c r="I86" s="153"/>
      <x:c r="J86" s="146"/>
      <x:c r="K86"/>
      <x:c r="L86"/>
      <x:c r="M86" s="146"/>
      <x:c r="N86"/>
      <x:c r="O86" s="156"/>
    </x:row>
    <x:row r="87" ht="13.149999618530273" customHeight="1">
      <x:c r="G87" s="138"/>
      <x:c r="H87"/>
      <x:c r="I87" s="153"/>
      <x:c r="J87" s="146"/>
      <x:c r="K87"/>
      <x:c r="L87"/>
      <x:c r="M87" s="146"/>
      <x:c r="N87"/>
      <x:c r="O87" s="156"/>
    </x:row>
    <x:row r="88" ht="13.149999618530273" customHeight="1">
      <x:c r="G88" s="138"/>
      <x:c r="H88"/>
      <x:c r="I88" s="153"/>
      <x:c r="J88" s="146"/>
      <x:c r="K88"/>
      <x:c r="L88"/>
      <x:c r="M88" s="146"/>
      <x:c r="N88"/>
      <x:c r="O88" s="156"/>
    </x:row>
    <x:row r="89" ht="13.149999618530273" customHeight="1">
      <x:c r="G89" s="138"/>
      <x:c r="H89"/>
      <x:c r="I89" s="153"/>
      <x:c r="J89" s="146"/>
      <x:c r="K89"/>
      <x:c r="L89"/>
      <x:c r="M89" s="146"/>
      <x:c r="N89"/>
      <x:c r="O89" s="156"/>
    </x:row>
    <x:row r="90" ht="13.149999618530273" customHeight="1">
      <x:c r="G90" s="138"/>
      <x:c r="H90"/>
      <x:c r="I90" s="153"/>
      <x:c r="J90" s="146"/>
      <x:c r="K90"/>
      <x:c r="L90"/>
      <x:c r="M90" s="146"/>
      <x:c r="N90"/>
      <x:c r="O90" s="156"/>
    </x:row>
    <x:row r="91" ht="13.149999618530273" customHeight="1">
      <x:c r="G91" s="138"/>
      <x:c r="H91"/>
      <x:c r="I91" s="153"/>
      <x:c r="J91" s="146"/>
      <x:c r="K91"/>
      <x:c r="L91"/>
      <x:c r="M91" s="146"/>
      <x:c r="N91"/>
      <x:c r="O91" s="156"/>
    </x:row>
    <x:row r="92" ht="13.149999618530273" customHeight="1">
      <x:c r="G92" s="138"/>
      <x:c r="H92"/>
      <x:c r="I92" s="153"/>
      <x:c r="J92" s="146"/>
      <x:c r="K92"/>
      <x:c r="L92"/>
      <x:c r="M92" s="146"/>
      <x:c r="N92"/>
      <x:c r="O92" s="156"/>
    </x:row>
    <x:row r="93" ht="13.149999618530273" customHeight="1">
      <x:c r="G93" s="138"/>
      <x:c r="H93"/>
      <x:c r="I93" s="153"/>
      <x:c r="J93" s="146"/>
      <x:c r="K93"/>
      <x:c r="L93"/>
      <x:c r="M93" s="146"/>
      <x:c r="N93"/>
      <x:c r="O93" s="156"/>
    </x:row>
    <x:row r="94" ht="13.149999618530273" customHeight="1">
      <x:c r="G94" s="138"/>
      <x:c r="H94"/>
      <x:c r="I94" s="153"/>
      <x:c r="J94" s="146"/>
      <x:c r="K94"/>
      <x:c r="L94"/>
      <x:c r="M94" s="146"/>
      <x:c r="N94"/>
      <x:c r="O94" s="156"/>
    </x:row>
    <x:row r="95" ht="13.149999618530273" customHeight="1">
      <x:c r="G95" s="138"/>
      <x:c r="H95"/>
      <x:c r="I95" s="153"/>
      <x:c r="J95" s="146"/>
      <x:c r="K95"/>
      <x:c r="L95"/>
      <x:c r="M95" s="146"/>
      <x:c r="N95"/>
      <x:c r="O95" s="156"/>
    </x:row>
    <x:row r="96" ht="13.149999618530273" customHeight="1">
      <x:c r="G96" s="138"/>
      <x:c r="H96"/>
      <x:c r="I96" s="153"/>
      <x:c r="J96" s="146"/>
      <x:c r="K96"/>
      <x:c r="L96"/>
      <x:c r="M96" s="146"/>
      <x:c r="N96"/>
      <x:c r="O96" s="156"/>
    </x:row>
    <x:row r="97" ht="13.149999618530273" customHeight="1">
      <x:c r="G97" s="138"/>
      <x:c r="H97"/>
      <x:c r="I97" s="153"/>
      <x:c r="J97" s="146"/>
      <x:c r="K97"/>
      <x:c r="L97"/>
      <x:c r="M97" s="146"/>
      <x:c r="N97"/>
      <x:c r="O97" s="156"/>
    </x:row>
    <x:row r="98" ht="13.149999618530273" customHeight="1">
      <x:c r="G98" s="138"/>
      <x:c r="H98"/>
      <x:c r="I98" s="153"/>
      <x:c r="J98" s="146"/>
      <x:c r="K98"/>
      <x:c r="L98"/>
      <x:c r="M98" s="146"/>
      <x:c r="N98"/>
      <x:c r="O98" s="156"/>
    </x:row>
    <x:row r="99" ht="13.149999618530273" customHeight="1">
      <x:c r="G99" s="138"/>
      <x:c r="H99"/>
      <x:c r="I99" s="153"/>
      <x:c r="J99" s="146"/>
      <x:c r="K99"/>
      <x:c r="L99"/>
      <x:c r="M99" s="146"/>
      <x:c r="N99"/>
      <x:c r="O99" s="156"/>
    </x:row>
    <x:row r="100" ht="13.149999618530273" customHeight="1">
      <x:c r="G100" s="138"/>
      <x:c r="H100"/>
      <x:c r="I100" s="153"/>
      <x:c r="J100" s="146"/>
      <x:c r="K100"/>
      <x:c r="L100"/>
      <x:c r="M100" s="146"/>
      <x:c r="N100"/>
      <x:c r="O100" s="156"/>
    </x:row>
  </x:sheetData>
  <x:mergeCells>
    <x:mergeCell ref="B3:E3"/>
    <x:mergeCell ref="B2:E2"/>
    <x:mergeCell ref="B4:E4"/>
  </x:mergeCells>
  <x:dataValidations count="1">
    <x:dataValidation type="list" allowBlank="1" sqref="F11:F69 I11:I69 L11:L6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239e2e7168254373"/>
</x:worksheet>
</file>

<file path=xl/worksheets/sheet10.xml><?xml version="1.0" encoding="utf-8"?>
<x:worksheet xmlns:x="http://schemas.openxmlformats.org/spreadsheetml/2006/main">
  <x:sheetPr>
    <x:tabColor rgb="FF0B1F6A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6" hidden="0" customWidth="1"/>
    <x:col min="2" max="2" width="4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52" hidden="0" customWidth="1"/>
    <x:col min="9" max="9" width="52" hidden="0" customWidth="1"/>
  </x:cols>
  <x:sheetData>
    <x:row r="1">
      <x:c r="A1" s="163" t="str">
        <x:v>ROUND 2 — POSTMAN EXECUTION EVIDENCE</x:v>
      </x:c>
      <x:c r="B1" s="163"/>
      <x:c r="C1" s="163"/>
      <x:c r="D1" s="163"/>
      <x:c r="E1" s="163"/>
      <x:c r="F1" s="163"/>
      <x:c r="G1" s="163"/>
      <x:c r="H1" s="163"/>
      <x:c r="I1" s="163"/>
    </x:row>
    <x:row r="2">
      <x:c r="A2" s="167" t="str">
        <x:v>Round</x:v>
      </x:c>
      <x:c r="B2" s="167" t="str">
        <x:v>Assertions</x:v>
      </x:c>
      <x:c r="C2" s="167" t="str">
        <x:v>Passed</x:v>
      </x:c>
      <x:c r="D2" s="167" t="str">
        <x:v>Failed</x:v>
      </x:c>
      <x:c r="E2" s="167" t="str">
        <x:v>Pass rate</x:v>
      </x:c>
      <x:c r="G2" s="167" t="str">
        <x:v>Execution</x:v>
      </x:c>
      <x:c r="H2" s="167" t="str">
        <x:v>Value</x:v>
      </x:c>
      <x:c r="I2" s="167" t="str">
        <x:v>Result</x:v>
      </x:c>
    </x:row>
    <x:row r="3">
      <x:c r="A3" t="str">
        <x:v>Round 1 baseline</x:v>
      </x:c>
      <x:c r="B3" t="n">
        <x:v>419</x:v>
      </x:c>
      <x:c r="C3" t="n">
        <x:v>330</x:v>
      </x:c>
      <x:c r="D3" t="n">
        <x:v>89</x:v>
      </x:c>
      <x:c r="E3" s="164" t="n">
        <x:f>C3/B3</x:f>
        <x:v>0.7875894988066826</x:v>
      </x:c>
      <x:c r="G3" t="str">
        <x:v>Collections</x:v>
      </x:c>
      <x:c r="H3" t="n">
        <x:v>72</x:v>
      </x:c>
      <x:c r="I3" t="str">
        <x:v>38 clean / 34 with failures</x:v>
      </x:c>
    </x:row>
    <x:row r="4">
      <x:c r="A4" t="str">
        <x:v>Round 2</x:v>
      </x:c>
      <x:c r="B4" t="n">
        <x:v>421</x:v>
      </x:c>
      <x:c r="C4" t="n">
        <x:v>358</x:v>
      </x:c>
      <x:c r="D4" t="n">
        <x:v>63</x:v>
      </x:c>
      <x:c r="E4" s="164" t="n">
        <x:f>C4/B4</x:f>
        <x:v>0.850356294536817</x:v>
      </x:c>
      <x:c r="G4" t="str">
        <x:v>Target</x:v>
      </x:c>
      <x:c r="H4" t="str">
        <x:v>http://localhost:5080/ready</x:v>
      </x:c>
      <x:c r="I4" t="str">
        <x:v>PASS — vượt Round 1</x:v>
      </x:c>
    </x:row>
    <x:row r="5">
      <x:c r="A5" t="str">
        <x:v>Delta R2 - R1</x:v>
      </x:c>
      <x:c r="B5"/>
      <x:c r="C5" t="n">
        <x:f>C4-C3</x:f>
        <x:v>28</x:v>
      </x:c>
      <x:c r="D5" t="n">
        <x:f>D4-D3</x:f>
        <x:v>-26</x:v>
      </x:c>
      <x:c r="E5" s="164" t="n">
        <x:f>E4-E3</x:f>
        <x:v>0.06276679573013444</x:v>
      </x:c>
      <x:c r="G5" t="str">
        <x:v>Completed UTC</x:v>
      </x:c>
      <x:c r="H5" s="165" t="d">
        <x:v>2026-10-30T04:02:18.216Z</x:v>
      </x:c>
      <x:c r="I5" t="str">
        <x:v>Evidence retained</x:v>
      </x:c>
    </x:row>
    <x:row r="7">
      <x:c r="A7" s="170" t="str">
        <x:v>Kết luận: Round 2 vượt baseline cả số pass (+28) và tỷ lệ pass (+6,28 điểm phần trăm). Các failure còn lại được giữ nguyên trong log/JUnit, chủ yếu thuộc collection lịch sử dùng ID runtime cũ.</x:v>
      </x:c>
      <x:c r="B7" s="170"/>
      <x:c r="C7" s="170"/>
      <x:c r="D7" s="170"/>
      <x:c r="E7" s="170"/>
      <x:c r="F7" s="170"/>
      <x:c r="G7" s="170"/>
      <x:c r="H7" s="170"/>
      <x:c r="I7" s="170"/>
    </x:row>
    <x:row r="10">
      <x:c r="A10" s="172" t="str">
        <x:v>#</x:v>
      </x:c>
      <x:c r="B10" s="172" t="str">
        <x:v>Collection</x:v>
      </x:c>
      <x:c r="C10" s="172" t="str">
        <x:v>Assertions</x:v>
      </x:c>
      <x:c r="D10" s="172" t="str">
        <x:v>Passed</x:v>
      </x:c>
      <x:c r="E10" s="172" t="str">
        <x:v>Failed</x:v>
      </x:c>
      <x:c r="F10" s="172" t="str">
        <x:v>Exit</x:v>
      </x:c>
      <x:c r="G10" s="172" t="str">
        <x:v>Duration (s)</x:v>
      </x:c>
      <x:c r="H10" s="172" t="str">
        <x:v>Log</x:v>
      </x:c>
      <x:c r="I10" s="172" t="str">
        <x:v>JUnit</x:v>
      </x:c>
    </x:row>
    <x:row r="11">
      <x:c r="A11" s="173" t="n">
        <x:v>1</x:v>
      </x:c>
      <x:c r="B11" s="174" t="str">
        <x:v>PBL6_PAY03_Readback.postman_collection</x:v>
      </x:c>
      <x:c r="C11" s="173" t="n">
        <x:v>2</x:v>
      </x:c>
      <x:c r="D11" s="173" t="n">
        <x:v>1</x:v>
      </x:c>
      <x:c r="E11" s="173" t="n">
        <x:v>1</x:v>
      </x:c>
      <x:c r="F11" s="173" t="n">
        <x:v>1</x:v>
      </x:c>
      <x:c r="G11" s="173" t="n">
        <x:v>2.551</x:v>
      </x:c>
      <x:c r="H11" s="175" t="str">
        <x:v>logs/PBL6_PAY03_Readback.postman_collection.log</x:v>
      </x:c>
      <x:c r="I11" s="175" t="str">
        <x:v>junit/PBL6_PAY03_Readback.postman_collection.xml</x:v>
      </x:c>
    </x:row>
    <x:row r="12">
      <x:c r="A12" s="173" t="n">
        <x:v>2</x:v>
      </x:c>
      <x:c r="B12" s="174" t="str">
        <x:v>PBL6_R3_AdminRoles.postman_collection</x:v>
      </x:c>
      <x:c r="C12" s="173" t="n">
        <x:v>4</x:v>
      </x:c>
      <x:c r="D12" s="173" t="n">
        <x:v>0</x:v>
      </x:c>
      <x:c r="E12" s="173" t="n">
        <x:v>4</x:v>
      </x:c>
      <x:c r="F12" s="173" t="n">
        <x:v>1</x:v>
      </x:c>
      <x:c r="G12" s="173" t="n">
        <x:v>3.361</x:v>
      </x:c>
      <x:c r="H12" s="175" t="str">
        <x:v>logs/PBL6_R3_AdminRoles.postman_collection.log</x:v>
      </x:c>
      <x:c r="I12" s="175" t="str">
        <x:v>junit/PBL6_R3_AdminRoles.postman_collection.xml</x:v>
      </x:c>
    </x:row>
    <x:row r="13">
      <x:c r="A13" s="173" t="n">
        <x:v>3</x:v>
      </x:c>
      <x:c r="B13" s="174" t="str">
        <x:v>PBL6_R3_AdminSettlement.postman_collection</x:v>
      </x:c>
      <x:c r="C13" s="173" t="n">
        <x:v>0</x:v>
      </x:c>
      <x:c r="D13" s="173" t="n">
        <x:v>0</x:v>
      </x:c>
      <x:c r="E13" s="173" t="n">
        <x:v>0</x:v>
      </x:c>
      <x:c r="F13" s="173" t="n">
        <x:v>0</x:v>
      </x:c>
      <x:c r="G13" s="173" t="n">
        <x:v>2.519</x:v>
      </x:c>
      <x:c r="H13" s="175" t="str">
        <x:v>logs/PBL6_R3_AdminSettlement.postman_collection.log</x:v>
      </x:c>
      <x:c r="I13" s="175" t="str">
        <x:v>junit/PBL6_R3_AdminSettlement.postman_collection.xml</x:v>
      </x:c>
    </x:row>
    <x:row r="14">
      <x:c r="A14" s="173" t="n">
        <x:v>4</x:v>
      </x:c>
      <x:c r="B14" s="174" t="str">
        <x:v>PBL6_R3_Auth_Common_Security.postman_collection</x:v>
      </x:c>
      <x:c r="C14" s="173" t="n">
        <x:v>39</x:v>
      </x:c>
      <x:c r="D14" s="173" t="n">
        <x:v>39</x:v>
      </x:c>
      <x:c r="E14" s="173" t="n">
        <x:v>0</x:v>
      </x:c>
      <x:c r="F14" s="173" t="n">
        <x:v>0</x:v>
      </x:c>
      <x:c r="G14" s="173" t="n">
        <x:v>4.176</x:v>
      </x:c>
      <x:c r="H14" s="175" t="str">
        <x:v>logs/PBL6_R3_Auth_Common_Security.postman_collection.log</x:v>
      </x:c>
      <x:c r="I14" s="175" t="str">
        <x:v>junit/PBL6_R3_Auth_Common_Security.postman_collection.xml</x:v>
      </x:c>
    </x:row>
    <x:row r="15">
      <x:c r="A15" s="173" t="n">
        <x:v>5</x:v>
      </x:c>
      <x:c r="B15" s="174" t="str">
        <x:v>PBL6_R3_AuthExpiry.postman_collection</x:v>
      </x:c>
      <x:c r="C15" s="173" t="n">
        <x:v>4</x:v>
      </x:c>
      <x:c r="D15" s="173" t="n">
        <x:v>4</x:v>
      </x:c>
      <x:c r="E15" s="173" t="n">
        <x:v>0</x:v>
      </x:c>
      <x:c r="F15" s="173" t="n">
        <x:v>0</x:v>
      </x:c>
      <x:c r="G15" s="173" t="n">
        <x:v>2.44</x:v>
      </x:c>
      <x:c r="H15" s="175" t="str">
        <x:v>logs/PBL6_R3_AuthExpiry.postman_collection.log</x:v>
      </x:c>
      <x:c r="I15" s="175" t="str">
        <x:v>junit/PBL6_R3_AuthExpiry.postman_collection.xml</x:v>
      </x:c>
    </x:row>
    <x:row r="16">
      <x:c r="A16" s="173" t="n">
        <x:v>6</x:v>
      </x:c>
      <x:c r="B16" s="174" t="str">
        <x:v>PBL6_R3_CreateSecondCustomer.postman_collection</x:v>
      </x:c>
      <x:c r="C16" s="173" t="n">
        <x:v>5</x:v>
      </x:c>
      <x:c r="D16" s="173" t="n">
        <x:v>5</x:v>
      </x:c>
      <x:c r="E16" s="173" t="n">
        <x:v>0</x:v>
      </x:c>
      <x:c r="F16" s="173" t="n">
        <x:v>0</x:v>
      </x:c>
      <x:c r="G16" s="173" t="n">
        <x:v>2.441</x:v>
      </x:c>
      <x:c r="H16" s="175" t="str">
        <x:v>logs/PBL6_R3_CreateSecondCustomer.postman_collection.log</x:v>
      </x:c>
      <x:c r="I16" s="175" t="str">
        <x:v>junit/PBL6_R3_CreateSecondCustomer.postman_collection.xml</x:v>
      </x:c>
    </x:row>
    <x:row r="17">
      <x:c r="A17" s="173" t="n">
        <x:v>7</x:v>
      </x:c>
      <x:c r="B17" s="174" t="str">
        <x:v>PBL6_R3_BOOK03_BOOK04_ExistingTrip.postman_collection</x:v>
      </x:c>
      <x:c r="C17" s="173" t="n">
        <x:v>5</x:v>
      </x:c>
      <x:c r="D17" s="173" t="n">
        <x:v>5</x:v>
      </x:c>
      <x:c r="E17" s="173" t="n">
        <x:v>0</x:v>
      </x:c>
      <x:c r="F17" s="173" t="n">
        <x:v>0</x:v>
      </x:c>
      <x:c r="G17" s="173" t="n">
        <x:v>2.397</x:v>
      </x:c>
      <x:c r="H17" s="175" t="str">
        <x:v>logs/PBL6_R3_BOOK03_BOOK04_ExistingTrip.postman_collection.log</x:v>
      </x:c>
      <x:c r="I17" s="175" t="str">
        <x:v>junit/PBL6_R3_BOOK03_BOOK04_ExistingTrip.postman_collection.xml</x:v>
      </x:c>
    </x:row>
    <x:row r="18">
      <x:c r="A18" s="173" t="n">
        <x:v>8</x:v>
      </x:c>
      <x:c r="B18" s="174" t="str">
        <x:v>PBL6_R3_BOOK03_BOOK04_Multiseat.postman_collection</x:v>
      </x:c>
      <x:c r="C18" s="173" t="n">
        <x:v>5</x:v>
      </x:c>
      <x:c r="D18" s="173" t="n">
        <x:v>5</x:v>
      </x:c>
      <x:c r="E18" s="173" t="n">
        <x:v>0</x:v>
      </x:c>
      <x:c r="F18" s="173" t="n">
        <x:v>0</x:v>
      </x:c>
      <x:c r="G18" s="173" t="n">
        <x:v>3.262</x:v>
      </x:c>
      <x:c r="H18" s="175" t="str">
        <x:v>logs/PBL6_R3_BOOK03_BOOK04_Multiseat.postman_collection.log</x:v>
      </x:c>
      <x:c r="I18" s="175" t="str">
        <x:v>junit/PBL6_R3_BOOK03_BOOK04_Multiseat.postman_collection.xml</x:v>
      </x:c>
    </x:row>
    <x:row r="19">
      <x:c r="A19" s="173" t="n">
        <x:v>9</x:v>
      </x:c>
      <x:c r="B19" s="174" t="str">
        <x:v>PBL6_R3_BOOK05_ConcurrentHold.postman_collection</x:v>
      </x:c>
      <x:c r="C19" s="173" t="n">
        <x:v>1</x:v>
      </x:c>
      <x:c r="D19" s="173" t="n">
        <x:v>1</x:v>
      </x:c>
      <x:c r="E19" s="173" t="n">
        <x:v>0</x:v>
      </x:c>
      <x:c r="F19" s="173" t="n">
        <x:v>0</x:v>
      </x:c>
      <x:c r="G19" s="173" t="n">
        <x:v>1.973</x:v>
      </x:c>
      <x:c r="H19" s="175" t="str">
        <x:v>logs/PBL6_R3_BOOK05_ConcurrentHold.postman_collection.log</x:v>
      </x:c>
      <x:c r="I19" s="175" t="str">
        <x:v>junit/PBL6_R3_BOOK05_ConcurrentHold.postman_collection.xml</x:v>
      </x:c>
    </x:row>
    <x:row r="20">
      <x:c r="A20" s="173" t="n">
        <x:v>10</x:v>
      </x:c>
      <x:c r="B20" s="174" t="str">
        <x:v>PBL6_R3_BOOK12_BOOK13_PayLaterIdempotency.postman_collection</x:v>
      </x:c>
      <x:c r="C20" s="173" t="n">
        <x:v>5</x:v>
      </x:c>
      <x:c r="D20" s="173" t="n">
        <x:v>5</x:v>
      </x:c>
      <x:c r="E20" s="173" t="n">
        <x:v>0</x:v>
      </x:c>
      <x:c r="F20" s="173" t="n">
        <x:v>0</x:v>
      </x:c>
      <x:c r="G20" s="173" t="n">
        <x:v>2.53</x:v>
      </x:c>
      <x:c r="H20" s="175" t="str">
        <x:v>logs/PBL6_R3_BOOK12_BOOK13_PayLaterIdempotency.postman_collection.log</x:v>
      </x:c>
      <x:c r="I20" s="175" t="str">
        <x:v>junit/PBL6_R3_BOOK12_BOOK13_PayLaterIdempotency.postman_collection.xml</x:v>
      </x:c>
    </x:row>
    <x:row r="21">
      <x:c r="A21" s="173" t="n">
        <x:v>11</x:v>
      </x:c>
      <x:c r="B21" s="174" t="str">
        <x:v>PBL6_R3_BOOK17_ForeignHold.postman_collection</x:v>
      </x:c>
      <x:c r="C21" s="173" t="n">
        <x:v>3</x:v>
      </x:c>
      <x:c r="D21" s="173" t="n">
        <x:v>3</x:v>
      </x:c>
      <x:c r="E21" s="173" t="n">
        <x:v>0</x:v>
      </x:c>
      <x:c r="F21" s="173" t="n">
        <x:v>0</x:v>
      </x:c>
      <x:c r="G21" s="173" t="n">
        <x:v>2.23</x:v>
      </x:c>
      <x:c r="H21" s="175" t="str">
        <x:v>logs/PBL6_R3_BOOK17_ForeignHold.postman_collection.log</x:v>
      </x:c>
      <x:c r="I21" s="175" t="str">
        <x:v>junit/PBL6_R3_BOOK17_ForeignHold.postman_collection.xml</x:v>
      </x:c>
    </x:row>
    <x:row r="22">
      <x:c r="A22" s="173" t="n">
        <x:v>12</x:v>
      </x:c>
      <x:c r="B22" s="174" t="str">
        <x:v>PBL6_R3_BOOK18_PayLater.postman_collection</x:v>
      </x:c>
      <x:c r="C22" s="173" t="n">
        <x:v>2</x:v>
      </x:c>
      <x:c r="D22" s="173" t="n">
        <x:v>2</x:v>
      </x:c>
      <x:c r="E22" s="173" t="n">
        <x:v>0</x:v>
      </x:c>
      <x:c r="F22" s="173" t="n">
        <x:v>0</x:v>
      </x:c>
      <x:c r="G22" s="173" t="n">
        <x:v>2.057</x:v>
      </x:c>
      <x:c r="H22" s="175" t="str">
        <x:v>logs/PBL6_R3_BOOK18_PayLater.postman_collection.log</x:v>
      </x:c>
      <x:c r="I22" s="175" t="str">
        <x:v>junit/PBL6_R3_BOOK18_PayLater.postman_collection.xml</x:v>
      </x:c>
    </x:row>
    <x:row r="23">
      <x:c r="A23" s="173" t="n">
        <x:v>13</x:v>
      </x:c>
      <x:c r="B23" s="174" t="str">
        <x:v>PBL6_R3_BOOK20_InvalidChannel.postman_collection</x:v>
      </x:c>
      <x:c r="C23" s="173" t="n">
        <x:v>3</x:v>
      </x:c>
      <x:c r="D23" s="173" t="n">
        <x:v>3</x:v>
      </x:c>
      <x:c r="E23" s="173" t="n">
        <x:v>0</x:v>
      </x:c>
      <x:c r="F23" s="173" t="n">
        <x:v>0</x:v>
      </x:c>
      <x:c r="G23" s="173" t="n">
        <x:v>2.237</x:v>
      </x:c>
      <x:c r="H23" s="175" t="str">
        <x:v>logs/PBL6_R3_BOOK20_InvalidChannel.postman_collection.log</x:v>
      </x:c>
      <x:c r="I23" s="175" t="str">
        <x:v>junit/PBL6_R3_BOOK20_InvalidChannel.postman_collection.xml</x:v>
      </x:c>
    </x:row>
    <x:row r="24">
      <x:c r="A24" s="173" t="n">
        <x:v>14</x:v>
      </x:c>
      <x:c r="B24" s="174" t="str">
        <x:v>PBL6_R3_Booking.postman_collection</x:v>
      </x:c>
      <x:c r="C24" s="173" t="n">
        <x:v>6</x:v>
      </x:c>
      <x:c r="D24" s="173" t="n">
        <x:v>6</x:v>
      </x:c>
      <x:c r="E24" s="173" t="n">
        <x:v>0</x:v>
      </x:c>
      <x:c r="F24" s="173" t="n">
        <x:v>0</x:v>
      </x:c>
      <x:c r="G24" s="173" t="n">
        <x:v>2.358</x:v>
      </x:c>
      <x:c r="H24" s="175" t="str">
        <x:v>logs/PBL6_R3_Booking.postman_collection.log</x:v>
      </x:c>
      <x:c r="I24" s="175" t="str">
        <x:v>junit/PBL6_R3_Booking.postman_collection.xml</x:v>
      </x:c>
    </x:row>
    <x:row r="25">
      <x:c r="A25" s="173" t="n">
        <x:v>15</x:v>
      </x:c>
      <x:c r="B25" s="174" t="str">
        <x:v>PBL6_R3_BookingCorrectTotal.postman_collection</x:v>
      </x:c>
      <x:c r="C25" s="173" t="n">
        <x:v>2</x:v>
      </x:c>
      <x:c r="D25" s="173" t="n">
        <x:v>0</x:v>
      </x:c>
      <x:c r="E25" s="173" t="n">
        <x:v>2</x:v>
      </x:c>
      <x:c r="F25" s="173" t="n">
        <x:v>1</x:v>
      </x:c>
      <x:c r="G25" s="173" t="n">
        <x:v>2.226</x:v>
      </x:c>
      <x:c r="H25" s="175" t="str">
        <x:v>logs/PBL6_R3_BookingCorrectTotal.postman_collection.log</x:v>
      </x:c>
      <x:c r="I25" s="175" t="str">
        <x:v>junit/PBL6_R3_BookingCorrectTotal.postman_collection.xml</x:v>
      </x:c>
    </x:row>
    <x:row r="26">
      <x:c r="A26" s="173" t="n">
        <x:v>16</x:v>
      </x:c>
      <x:c r="B26" s="174" t="str">
        <x:v>PBL6_R3_BookingExpiry.postman_collection</x:v>
      </x:c>
      <x:c r="C26" s="173" t="n">
        <x:v>1</x:v>
      </x:c>
      <x:c r="D26" s="173" t="n">
        <x:v>0</x:v>
      </x:c>
      <x:c r="E26" s="173" t="n">
        <x:v>1</x:v>
      </x:c>
      <x:c r="F26" s="173" t="n">
        <x:v>1</x:v>
      </x:c>
      <x:c r="G26" s="173" t="n">
        <x:v>2.031</x:v>
      </x:c>
      <x:c r="H26" s="175" t="str">
        <x:v>logs/PBL6_R3_BookingExpiry.postman_collection.log</x:v>
      </x:c>
      <x:c r="I26" s="175" t="str">
        <x:v>junit/PBL6_R3_BookingExpiry.postman_collection.xml</x:v>
      </x:c>
    </x:row>
    <x:row r="27">
      <x:c r="A27" s="173" t="n">
        <x:v>17</x:v>
      </x:c>
      <x:c r="B27" s="174" t="str">
        <x:v>PBL6_R3_BookingFresh.postman_collection</x:v>
      </x:c>
      <x:c r="C27" s="173" t="n">
        <x:v>6</x:v>
      </x:c>
      <x:c r="D27" s="173" t="n">
        <x:v>6</x:v>
      </x:c>
      <x:c r="E27" s="173" t="n">
        <x:v>0</x:v>
      </x:c>
      <x:c r="F27" s="173" t="n">
        <x:v>0</x:v>
      </x:c>
      <x:c r="G27" s="173" t="n">
        <x:v>4.272</x:v>
      </x:c>
      <x:c r="H27" s="175" t="str">
        <x:v>logs/PBL6_R3_BookingFresh.postman_collection.log</x:v>
      </x:c>
      <x:c r="I27" s="175" t="str">
        <x:v>junit/PBL6_R3_BookingFresh.postman_collection.xml</x:v>
      </x:c>
    </x:row>
    <x:row r="28">
      <x:c r="A28" s="173" t="n">
        <x:v>18</x:v>
      </x:c>
      <x:c r="B28" s="174" t="str">
        <x:v>PBL6_R3_BookingInvalidChannel.postman_collection</x:v>
      </x:c>
      <x:c r="C28" s="173" t="n">
        <x:v>1</x:v>
      </x:c>
      <x:c r="D28" s="173" t="n">
        <x:v>0</x:v>
      </x:c>
      <x:c r="E28" s="173" t="n">
        <x:v>1</x:v>
      </x:c>
      <x:c r="F28" s="173" t="n">
        <x:v>1</x:v>
      </x:c>
      <x:c r="G28" s="173" t="n">
        <x:v>2.056</x:v>
      </x:c>
      <x:c r="H28" s="175" t="str">
        <x:v>logs/PBL6_R3_BookingInvalidChannel.postman_collection.log</x:v>
      </x:c>
      <x:c r="I28" s="175" t="str">
        <x:v>junit/PBL6_R3_BookingInvalidChannel.postman_collection.xml</x:v>
      </x:c>
    </x:row>
    <x:row r="29">
      <x:c r="A29" s="173" t="n">
        <x:v>19</x:v>
      </x:c>
      <x:c r="B29" s="174" t="str">
        <x:v>PBL6_R3_BookingState.postman_collection</x:v>
      </x:c>
      <x:c r="C29" s="173" t="n">
        <x:v>0</x:v>
      </x:c>
      <x:c r="D29" s="173" t="n">
        <x:v>0</x:v>
      </x:c>
      <x:c r="E29" s="173" t="n">
        <x:v>0</x:v>
      </x:c>
      <x:c r="F29" s="173" t="n">
        <x:v>1</x:v>
      </x:c>
      <x:c r="G29" s="173" t="n">
        <x:v>2.24</x:v>
      </x:c>
      <x:c r="H29" s="175" t="str">
        <x:v>logs/PBL6_R3_BookingState.postman_collection.log</x:v>
      </x:c>
      <x:c r="I29" s="175" t="str">
        <x:v>junit/PBL6_R3_BookingState.postman_collection.xml</x:v>
      </x:c>
    </x:row>
    <x:row r="30">
      <x:c r="A30" s="173" t="n">
        <x:v>20</x:v>
      </x:c>
      <x:c r="B30" s="174" t="str">
        <x:v>PBL6_R3_BookingValidation.postman_collection</x:v>
      </x:c>
      <x:c r="C30" s="173" t="n">
        <x:v>9</x:v>
      </x:c>
      <x:c r="D30" s="173" t="n">
        <x:v>9</x:v>
      </x:c>
      <x:c r="E30" s="173" t="n">
        <x:v>0</x:v>
      </x:c>
      <x:c r="F30" s="173" t="n">
        <x:v>0</x:v>
      </x:c>
      <x:c r="G30" s="173" t="n">
        <x:v>2.196</x:v>
      </x:c>
      <x:c r="H30" s="175" t="str">
        <x:v>logs/PBL6_R3_BookingValidation.postman_collection.log</x:v>
      </x:c>
      <x:c r="I30" s="175" t="str">
        <x:v>junit/PBL6_R3_BookingValidation.postman_collection.xml</x:v>
      </x:c>
    </x:row>
    <x:row r="31">
      <x:c r="A31" s="173" t="n">
        <x:v>21</x:v>
      </x:c>
      <x:c r="B31" s="174" t="str">
        <x:v>PBL6_R3_CAN01_Preview.postman_collection</x:v>
      </x:c>
      <x:c r="C31" s="173" t="n">
        <x:v>2</x:v>
      </x:c>
      <x:c r="D31" s="173" t="n">
        <x:v>0</x:v>
      </x:c>
      <x:c r="E31" s="173" t="n">
        <x:v>2</x:v>
      </x:c>
      <x:c r="F31" s="173" t="n">
        <x:v>1</x:v>
      </x:c>
      <x:c r="G31" s="173" t="n">
        <x:v>2.11</x:v>
      </x:c>
      <x:c r="H31" s="175" t="str">
        <x:v>logs/PBL6_R3_CAN01_Preview.postman_collection.log</x:v>
      </x:c>
      <x:c r="I31" s="175" t="str">
        <x:v>junit/PBL6_R3_CAN01_Preview.postman_collection.xml</x:v>
      </x:c>
    </x:row>
    <x:row r="32">
      <x:c r="A32" s="173" t="n">
        <x:v>22</x:v>
      </x:c>
      <x:c r="B32" s="174" t="str">
        <x:v>PBL6_R3_CAN02_PrepaidConfirmCancel.postman_collection</x:v>
      </x:c>
      <x:c r="C32" s="173" t="n">
        <x:v>3</x:v>
      </x:c>
      <x:c r="D32" s="173" t="n">
        <x:v>0</x:v>
      </x:c>
      <x:c r="E32" s="173" t="n">
        <x:v>3</x:v>
      </x:c>
      <x:c r="F32" s="173" t="n">
        <x:v>1</x:v>
      </x:c>
      <x:c r="G32" s="173" t="n">
        <x:v>2.107</x:v>
      </x:c>
      <x:c r="H32" s="175" t="str">
        <x:v>logs/PBL6_R3_CAN02_PrepaidConfirmCancel.postman_collection.log</x:v>
      </x:c>
      <x:c r="I32" s="175" t="str">
        <x:v>junit/PBL6_R3_CAN02_PrepaidConfirmCancel.postman_collection.xml</x:v>
      </x:c>
    </x:row>
    <x:row r="33">
      <x:c r="A33" s="173" t="n">
        <x:v>23</x:v>
      </x:c>
      <x:c r="B33" s="174" t="str">
        <x:v>PBL6_R3_CAN02_PrepaidRefundFlow.postman_collection</x:v>
      </x:c>
      <x:c r="C33" s="173" t="n">
        <x:v>9</x:v>
      </x:c>
      <x:c r="D33" s="173" t="n">
        <x:v>9</x:v>
      </x:c>
      <x:c r="E33" s="173" t="n">
        <x:v>0</x:v>
      </x:c>
      <x:c r="F33" s="173" t="n">
        <x:v>0</x:v>
      </x:c>
      <x:c r="G33" s="173" t="n">
        <x:v>4.103</x:v>
      </x:c>
      <x:c r="H33" s="175" t="str">
        <x:v>logs/PBL6_R3_CAN02_PrepaidRefundFlow.postman_collection.log</x:v>
      </x:c>
      <x:c r="I33" s="175" t="str">
        <x:v>junit/PBL6_R3_CAN02_PrepaidRefundFlow.postman_collection.xml</x:v>
      </x:c>
    </x:row>
    <x:row r="34">
      <x:c r="A34" s="173" t="n">
        <x:v>24</x:v>
      </x:c>
      <x:c r="B34" s="174" t="str">
        <x:v>PBL6_R3_CAN02_RefundReadback.postman_collection</x:v>
      </x:c>
      <x:c r="C34" s="173" t="n">
        <x:v>1</x:v>
      </x:c>
      <x:c r="D34" s="173" t="n">
        <x:v>0</x:v>
      </x:c>
      <x:c r="E34" s="173" t="n">
        <x:v>1</x:v>
      </x:c>
      <x:c r="F34" s="173" t="n">
        <x:v>1</x:v>
      </x:c>
      <x:c r="G34" s="173" t="n">
        <x:v>2.096</x:v>
      </x:c>
      <x:c r="H34" s="175" t="str">
        <x:v>logs/PBL6_R3_CAN02_RefundReadback.postman_collection.log</x:v>
      </x:c>
      <x:c r="I34" s="175" t="str">
        <x:v>junit/PBL6_R3_CAN02_RefundReadback.postman_collection.xml</x:v>
      </x:c>
    </x:row>
    <x:row r="35">
      <x:c r="A35" s="173" t="n">
        <x:v>25</x:v>
      </x:c>
      <x:c r="B35" s="174" t="str">
        <x:v>PBL6_R3_CAN03_PayLaterCancellation.postman_collection</x:v>
      </x:c>
      <x:c r="C35" s="173" t="n">
        <x:v>3</x:v>
      </x:c>
      <x:c r="D35" s="173" t="n">
        <x:v>0</x:v>
      </x:c>
      <x:c r="E35" s="173" t="n">
        <x:v>3</x:v>
      </x:c>
      <x:c r="F35" s="173" t="n">
        <x:v>1</x:v>
      </x:c>
      <x:c r="G35" s="173" t="n">
        <x:v>2.99</x:v>
      </x:c>
      <x:c r="H35" s="175" t="str">
        <x:v>logs/PBL6_R3_CAN03_PayLaterCancellation.postman_collection.log</x:v>
      </x:c>
      <x:c r="I35" s="175" t="str">
        <x:v>junit/PBL6_R3_CAN03_PayLaterCancellation.postman_collection.xml</x:v>
      </x:c>
    </x:row>
    <x:row r="36">
      <x:c r="A36" s="173" t="n">
        <x:v>26</x:v>
      </x:c>
      <x:c r="B36" s="174" t="str">
        <x:v>PBL6_R3_CAN04_CancelReplay.postman_collection</x:v>
      </x:c>
      <x:c r="C36" s="173" t="n">
        <x:v>2</x:v>
      </x:c>
      <x:c r="D36" s="173" t="n">
        <x:v>0</x:v>
      </x:c>
      <x:c r="E36" s="173" t="n">
        <x:v>2</x:v>
      </x:c>
      <x:c r="F36" s="173" t="n">
        <x:v>1</x:v>
      </x:c>
      <x:c r="G36" s="173" t="n">
        <x:v>2.046</x:v>
      </x:c>
      <x:c r="H36" s="175" t="str">
        <x:v>logs/PBL6_R3_CAN04_CancelReplay.postman_collection.log</x:v>
      </x:c>
      <x:c r="I36" s="175" t="str">
        <x:v>junit/PBL6_R3_CAN04_CancelReplay.postman_collection.xml</x:v>
      </x:c>
    </x:row>
    <x:row r="37">
      <x:c r="A37" s="173" t="n">
        <x:v>27</x:v>
      </x:c>
      <x:c r="B37" s="174" t="str">
        <x:v>PBL6_R3_CAN05_CheckedIn.postman_collection</x:v>
      </x:c>
      <x:c r="C37" s="173" t="n">
        <x:v>2</x:v>
      </x:c>
      <x:c r="D37" s="173" t="n">
        <x:v>1</x:v>
      </x:c>
      <x:c r="E37" s="173" t="n">
        <x:v>1</x:v>
      </x:c>
      <x:c r="F37" s="173" t="n">
        <x:v>1</x:v>
      </x:c>
      <x:c r="G37" s="173" t="n">
        <x:v>2.283</x:v>
      </x:c>
      <x:c r="H37" s="175" t="str">
        <x:v>logs/PBL6_R3_CAN05_CheckedIn.postman_collection.log</x:v>
      </x:c>
      <x:c r="I37" s="175" t="str">
        <x:v>junit/PBL6_R3_CAN05_CheckedIn.postman_collection.xml</x:v>
      </x:c>
    </x:row>
    <x:row r="38">
      <x:c r="A38" s="173" t="n">
        <x:v>28</x:v>
      </x:c>
      <x:c r="B38" s="174" t="str">
        <x:v>PBL6_R3_CAN06_RepeatCancelled.postman_collection</x:v>
      </x:c>
      <x:c r="C38" s="173" t="n">
        <x:v>1</x:v>
      </x:c>
      <x:c r="D38" s="173" t="n">
        <x:v>1</x:v>
      </x:c>
      <x:c r="E38" s="173" t="n">
        <x:v>0</x:v>
      </x:c>
      <x:c r="F38" s="173" t="n">
        <x:v>0</x:v>
      </x:c>
      <x:c r="G38" s="173" t="n">
        <x:v>2.191</x:v>
      </x:c>
      <x:c r="H38" s="175" t="str">
        <x:v>logs/PBL6_R3_CAN06_RepeatCancelled.postman_collection.log</x:v>
      </x:c>
      <x:c r="I38" s="175" t="str">
        <x:v>junit/PBL6_R3_CAN06_RepeatCancelled.postman_collection.xml</x:v>
      </x:c>
    </x:row>
    <x:row r="39">
      <x:c r="A39" s="173" t="n">
        <x:v>29</x:v>
      </x:c>
      <x:c r="B39" s="174" t="str">
        <x:v>PBL6_R3_CAN09_ForeignPreview.postman_collection</x:v>
      </x:c>
      <x:c r="C39" s="173" t="n">
        <x:v>1</x:v>
      </x:c>
      <x:c r="D39" s="173" t="n">
        <x:v>1</x:v>
      </x:c>
      <x:c r="E39" s="173" t="n">
        <x:v>0</x:v>
      </x:c>
      <x:c r="F39" s="173" t="n">
        <x:v>0</x:v>
      </x:c>
      <x:c r="G39" s="173" t="n">
        <x:v>2.339</x:v>
      </x:c>
      <x:c r="H39" s="175" t="str">
        <x:v>logs/PBL6_R3_CAN09_ForeignPreview.postman_collection.log</x:v>
      </x:c>
      <x:c r="I39" s="175" t="str">
        <x:v>junit/PBL6_R3_CAN09_ForeignPreview.postman_collection.xml</x:v>
      </x:c>
    </x:row>
    <x:row r="40">
      <x:c r="A40" s="173" t="n">
        <x:v>30</x:v>
      </x:c>
      <x:c r="B40" s="174" t="str">
        <x:v>PBL6_R3_CancelledTripHold.postman_collection</x:v>
      </x:c>
      <x:c r="C40" s="173" t="n">
        <x:v>2</x:v>
      </x:c>
      <x:c r="D40" s="173" t="n">
        <x:v>0</x:v>
      </x:c>
      <x:c r="E40" s="173" t="n">
        <x:v>2</x:v>
      </x:c>
      <x:c r="F40" s="173" t="n">
        <x:v>1</x:v>
      </x:c>
      <x:c r="G40" s="173" t="n">
        <x:v>2.264</x:v>
      </x:c>
      <x:c r="H40" s="175" t="str">
        <x:v>logs/PBL6_R3_CancelledTripHold.postman_collection.log</x:v>
      </x:c>
      <x:c r="I40" s="175" t="str">
        <x:v>junit/PBL6_R3_CancelledTripHold.postman_collection.xml</x:v>
      </x:c>
    </x:row>
    <x:row r="41">
      <x:c r="A41" s="173" t="n">
        <x:v>31</x:v>
      </x:c>
      <x:c r="B41" s="174" t="str">
        <x:v>PBL6_R3_CommonFormats.postman_collection</x:v>
      </x:c>
      <x:c r="C41" s="173" t="n">
        <x:v>2</x:v>
      </x:c>
      <x:c r="D41" s="173" t="n">
        <x:v>0</x:v>
      </x:c>
      <x:c r="E41" s="173" t="n">
        <x:v>2</x:v>
      </x:c>
      <x:c r="F41" s="173" t="n">
        <x:v>1</x:v>
      </x:c>
      <x:c r="G41" s="173" t="n">
        <x:v>2.416</x:v>
      </x:c>
      <x:c r="H41" s="175" t="str">
        <x:v>logs/PBL6_R3_CommonFormats.postman_collection.log</x:v>
      </x:c>
      <x:c r="I41" s="175" t="str">
        <x:v>junit/PBL6_R3_CommonFormats.postman_collection.xml</x:v>
      </x:c>
    </x:row>
    <x:row r="42">
      <x:c r="A42" s="173" t="n">
        <x:v>32</x:v>
      </x:c>
      <x:c r="B42" s="174" t="str">
        <x:v>PBL6_R3_CrossTenant.postman_collection</x:v>
      </x:c>
      <x:c r="C42" s="173" t="n">
        <x:v>6</x:v>
      </x:c>
      <x:c r="D42" s="173" t="n">
        <x:v>6</x:v>
      </x:c>
      <x:c r="E42" s="173" t="n">
        <x:v>0</x:v>
      </x:c>
      <x:c r="F42" s="173" t="n">
        <x:v>0</x:v>
      </x:c>
      <x:c r="G42" s="173" t="n">
        <x:v>2.742</x:v>
      </x:c>
      <x:c r="H42" s="175" t="str">
        <x:v>logs/PBL6_R3_CrossTenant.postman_collection.log</x:v>
      </x:c>
      <x:c r="I42" s="175" t="str">
        <x:v>junit/PBL6_R3_CrossTenant.postman_collection.xml</x:v>
      </x:c>
    </x:row>
    <x:row r="43">
      <x:c r="A43" s="173" t="n">
        <x:v>33</x:v>
      </x:c>
      <x:c r="B43" s="174" t="str">
        <x:v>PBL6_R3_Drivers.postman_collection</x:v>
      </x:c>
      <x:c r="C43" s="173" t="n">
        <x:v>4</x:v>
      </x:c>
      <x:c r="D43" s="173" t="n">
        <x:v>4</x:v>
      </x:c>
      <x:c r="E43" s="173" t="n">
        <x:v>0</x:v>
      </x:c>
      <x:c r="F43" s="173" t="n">
        <x:v>0</x:v>
      </x:c>
      <x:c r="G43" s="173" t="n">
        <x:v>2.482</x:v>
      </x:c>
      <x:c r="H43" s="175" t="str">
        <x:v>logs/PBL6_R3_Drivers.postman_collection.log</x:v>
      </x:c>
      <x:c r="I43" s="175" t="str">
        <x:v>junit/PBL6_R3_Drivers.postman_collection.xml</x:v>
      </x:c>
    </x:row>
    <x:row r="44">
      <x:c r="A44" s="173" t="n">
        <x:v>34</x:v>
      </x:c>
      <x:c r="B44" s="174" t="str">
        <x:v>PBL6_R3_DriverScheduleConflict.postman_collection</x:v>
      </x:c>
      <x:c r="C44" s="173" t="n">
        <x:v>4</x:v>
      </x:c>
      <x:c r="D44" s="173" t="n">
        <x:v>3</x:v>
      </x:c>
      <x:c r="E44" s="173" t="n">
        <x:v>1</x:v>
      </x:c>
      <x:c r="F44" s="173" t="n">
        <x:v>1</x:v>
      </x:c>
      <x:c r="G44" s="173" t="n">
        <x:v>2.348</x:v>
      </x:c>
      <x:c r="H44" s="175" t="str">
        <x:v>logs/PBL6_R3_DriverScheduleConflict.postman_collection.log</x:v>
      </x:c>
      <x:c r="I44" s="175" t="str">
        <x:v>junit/PBL6_R3_DriverScheduleConflict.postman_collection.xml</x:v>
      </x:c>
    </x:row>
    <x:row r="45">
      <x:c r="A45" s="173" t="n">
        <x:v>35</x:v>
      </x:c>
      <x:c r="B45" s="174" t="str">
        <x:v>PBL6_R3_ExpiredHoldBooking.postman_collection</x:v>
      </x:c>
      <x:c r="C45" s="173" t="n">
        <x:v>1</x:v>
      </x:c>
      <x:c r="D45" s="173" t="n">
        <x:v>0</x:v>
      </x:c>
      <x:c r="E45" s="173" t="n">
        <x:v>1</x:v>
      </x:c>
      <x:c r="F45" s="173" t="n">
        <x:v>1</x:v>
      </x:c>
      <x:c r="G45" s="173" t="n">
        <x:v>2.251</x:v>
      </x:c>
      <x:c r="H45" s="175" t="str">
        <x:v>logs/PBL6_R3_ExpiredHoldBooking.postman_collection.log</x:v>
      </x:c>
      <x:c r="I45" s="175" t="str">
        <x:v>junit/PBL6_R3_ExpiredHoldBooking.postman_collection.xml</x:v>
      </x:c>
    </x:row>
    <x:row r="46">
      <x:c r="A46" s="173" t="n">
        <x:v>36</x:v>
      </x:c>
      <x:c r="B46" s="174" t="str">
        <x:v>PBL6_R3_ExpiredToken.postman_collection</x:v>
      </x:c>
      <x:c r="C46" s="173" t="n">
        <x:v>1</x:v>
      </x:c>
      <x:c r="D46" s="173" t="n">
        <x:v>1</x:v>
      </x:c>
      <x:c r="E46" s="173" t="n">
        <x:v>0</x:v>
      </x:c>
      <x:c r="F46" s="173" t="n">
        <x:v>0</x:v>
      </x:c>
      <x:c r="G46" s="173" t="n">
        <x:v>2.044</x:v>
      </x:c>
      <x:c r="H46" s="175" t="str">
        <x:v>logs/PBL6_R3_ExpiredToken.postman_collection.log</x:v>
      </x:c>
      <x:c r="I46" s="175" t="str">
        <x:v>junit/PBL6_R3_ExpiredToken.postman_collection.xml</x:v>
      </x:c>
    </x:row>
    <x:row r="47">
      <x:c r="A47" s="173" t="n">
        <x:v>37</x:v>
      </x:c>
      <x:c r="B47" s="174" t="str">
        <x:v>PBL6_R3_FinalAdmin.postman_collection</x:v>
      </x:c>
      <x:c r="C47" s="173" t="n">
        <x:v>2</x:v>
      </x:c>
      <x:c r="D47" s="173" t="n">
        <x:v>2</x:v>
      </x:c>
      <x:c r="E47" s="173" t="n">
        <x:v>0</x:v>
      </x:c>
      <x:c r="F47" s="173" t="n">
        <x:v>0</x:v>
      </x:c>
      <x:c r="G47" s="173" t="n">
        <x:v>2.493</x:v>
      </x:c>
      <x:c r="H47" s="175" t="str">
        <x:v>logs/PBL6_R3_FinalAdmin.postman_collection.log</x:v>
      </x:c>
      <x:c r="I47" s="175" t="str">
        <x:v>junit/PBL6_R3_FinalAdmin.postman_collection.xml</x:v>
      </x:c>
    </x:row>
    <x:row r="48">
      <x:c r="A48" s="173" t="n">
        <x:v>38</x:v>
      </x:c>
      <x:c r="B48" s="174" t="str">
        <x:v>PBL6_R3_HoldExpiry.postman_collection</x:v>
      </x:c>
      <x:c r="C48" s="173" t="n">
        <x:v>2</x:v>
      </x:c>
      <x:c r="D48" s="173" t="n">
        <x:v>0</x:v>
      </x:c>
      <x:c r="E48" s="173" t="n">
        <x:v>2</x:v>
      </x:c>
      <x:c r="F48" s="173" t="n">
        <x:v>1</x:v>
      </x:c>
      <x:c r="G48" s="173" t="n">
        <x:v>1.89</x:v>
      </x:c>
      <x:c r="H48" s="175" t="str">
        <x:v>logs/PBL6_R3_HoldExpiry.postman_collection.log</x:v>
      </x:c>
      <x:c r="I48" s="175" t="str">
        <x:v>junit/PBL6_R3_HoldExpiry.postman_collection.xml</x:v>
      </x:c>
    </x:row>
    <x:row r="49">
      <x:c r="A49" s="173" t="n">
        <x:v>39</x:v>
      </x:c>
      <x:c r="B49" s="174" t="str">
        <x:v>PBL6_R3_NotificationSettlement.postman_collection</x:v>
      </x:c>
      <x:c r="C49" s="173" t="n">
        <x:v>2</x:v>
      </x:c>
      <x:c r="D49" s="173" t="n">
        <x:v>0</x:v>
      </x:c>
      <x:c r="E49" s="173" t="n">
        <x:v>2</x:v>
      </x:c>
      <x:c r="F49" s="173" t="n">
        <x:v>1</x:v>
      </x:c>
      <x:c r="G49" s="173" t="n">
        <x:v>2.163</x:v>
      </x:c>
      <x:c r="H49" s="175" t="str">
        <x:v>logs/PBL6_R3_NotificationSettlement.postman_collection.log</x:v>
      </x:c>
      <x:c r="I49" s="175" t="str">
        <x:v>junit/PBL6_R3_NotificationSettlement.postman_collection.xml</x:v>
      </x:c>
    </x:row>
    <x:row r="50">
      <x:c r="A50" s="173" t="n">
        <x:v>40</x:v>
      </x:c>
      <x:c r="B50" s="174" t="str">
        <x:v>PBL6_R3_OrganizationMember.postman_collection</x:v>
      </x:c>
      <x:c r="C50" s="173" t="n">
        <x:v>3</x:v>
      </x:c>
      <x:c r="D50" s="173" t="n">
        <x:v>3</x:v>
      </x:c>
      <x:c r="E50" s="173" t="n">
        <x:v>0</x:v>
      </x:c>
      <x:c r="F50" s="173" t="n">
        <x:v>0</x:v>
      </x:c>
      <x:c r="G50" s="173" t="n">
        <x:v>2.268</x:v>
      </x:c>
      <x:c r="H50" s="175" t="str">
        <x:v>logs/PBL6_R3_OrganizationMember.postman_collection.log</x:v>
      </x:c>
      <x:c r="I50" s="175" t="str">
        <x:v>junit/PBL6_R3_OrganizationMember.postman_collection.xml</x:v>
      </x:c>
    </x:row>
    <x:row r="51">
      <x:c r="A51" s="173" t="n">
        <x:v>41</x:v>
      </x:c>
      <x:c r="B51" s="174" t="str">
        <x:v>PBL6_R3_PAY11_NoWebhook.postman_collection</x:v>
      </x:c>
      <x:c r="C51" s="173" t="n">
        <x:v>3</x:v>
      </x:c>
      <x:c r="D51" s="173" t="n">
        <x:v>3</x:v>
      </x:c>
      <x:c r="E51" s="173" t="n">
        <x:v>0</x:v>
      </x:c>
      <x:c r="F51" s="173" t="n">
        <x:v>0</x:v>
      </x:c>
      <x:c r="G51" s="173" t="n">
        <x:v>3.688</x:v>
      </x:c>
      <x:c r="H51" s="175" t="str">
        <x:v>logs/PBL6_R3_PAY11_NoWebhook.postman_collection.log</x:v>
      </x:c>
      <x:c r="I51" s="175" t="str">
        <x:v>junit/PBL6_R3_PAY11_NoWebhook.postman_collection.xml</x:v>
      </x:c>
    </x:row>
    <x:row r="52">
      <x:c r="A52" s="173" t="n">
        <x:v>42</x:v>
      </x:c>
      <x:c r="B52" s="174" t="str">
        <x:v>PBL6_R3_PaymentAmount.postman_collection</x:v>
      </x:c>
      <x:c r="C52" s="173" t="n">
        <x:v>1</x:v>
      </x:c>
      <x:c r="D52" s="173" t="n">
        <x:v>0</x:v>
      </x:c>
      <x:c r="E52" s="173" t="n">
        <x:v>1</x:v>
      </x:c>
      <x:c r="F52" s="173" t="n">
        <x:v>1</x:v>
      </x:c>
      <x:c r="G52" s="173" t="n">
        <x:v>2.231</x:v>
      </x:c>
      <x:c r="H52" s="175" t="str">
        <x:v>logs/PBL6_R3_PaymentAmount.postman_collection.log</x:v>
      </x:c>
      <x:c r="I52" s="175" t="str">
        <x:v>junit/PBL6_R3_PaymentAmount.postman_collection.xml</x:v>
      </x:c>
    </x:row>
    <x:row r="53">
      <x:c r="A53" s="173" t="n">
        <x:v>43</x:v>
      </x:c>
      <x:c r="B53" s="174" t="str">
        <x:v>PBL6_R3_PaymentAmountSigned.postman_collection</x:v>
      </x:c>
      <x:c r="C53" s="173" t="n">
        <x:v>4</x:v>
      </x:c>
      <x:c r="D53" s="173" t="n">
        <x:v>0</x:v>
      </x:c>
      <x:c r="E53" s="173" t="n">
        <x:v>4</x:v>
      </x:c>
      <x:c r="F53" s="173" t="n">
        <x:v>1</x:v>
      </x:c>
      <x:c r="G53" s="173" t="n">
        <x:v>5.431</x:v>
      </x:c>
      <x:c r="H53" s="175" t="str">
        <x:v>logs/PBL6_R3_PaymentAmountSigned.postman_collection.log</x:v>
      </x:c>
      <x:c r="I53" s="175" t="str">
        <x:v>junit/PBL6_R3_PaymentAmountSigned.postman_collection.xml</x:v>
      </x:c>
    </x:row>
    <x:row r="54">
      <x:c r="A54" s="173" t="n">
        <x:v>44</x:v>
      </x:c>
      <x:c r="B54" s="174" t="str">
        <x:v>PBL6_R3_PaymentComplete.postman_collection</x:v>
      </x:c>
      <x:c r="C54" s="173" t="n">
        <x:v>6</x:v>
      </x:c>
      <x:c r="D54" s="173" t="n">
        <x:v>2</x:v>
      </x:c>
      <x:c r="E54" s="173" t="n">
        <x:v>4</x:v>
      </x:c>
      <x:c r="F54" s="173" t="n">
        <x:v>1</x:v>
      </x:c>
      <x:c r="G54" s="173" t="n">
        <x:v>2.163</x:v>
      </x:c>
      <x:c r="H54" s="175" t="str">
        <x:v>logs/PBL6_R3_PaymentComplete.postman_collection.log</x:v>
      </x:c>
      <x:c r="I54" s="175" t="str">
        <x:v>junit/PBL6_R3_PaymentComplete.postman_collection.xml</x:v>
      </x:c>
    </x:row>
    <x:row r="55">
      <x:c r="A55" s="173" t="n">
        <x:v>45</x:v>
      </x:c>
      <x:c r="B55" s="174" t="str">
        <x:v>PBL6_R3_PaymentFailure.postman_collection</x:v>
      </x:c>
      <x:c r="C55" s="173" t="n">
        <x:v>6</x:v>
      </x:c>
      <x:c r="D55" s="173" t="n">
        <x:v>0</x:v>
      </x:c>
      <x:c r="E55" s="173" t="n">
        <x:v>6</x:v>
      </x:c>
      <x:c r="F55" s="173" t="n">
        <x:v>1</x:v>
      </x:c>
      <x:c r="G55" s="173" t="n">
        <x:v>2.241</x:v>
      </x:c>
      <x:c r="H55" s="175" t="str">
        <x:v>logs/PBL6_R3_PaymentFailure.postman_collection.log</x:v>
      </x:c>
      <x:c r="I55" s="175" t="str">
        <x:v>junit/PBL6_R3_PaymentFailure.postman_collection.xml</x:v>
      </x:c>
    </x:row>
    <x:row r="56">
      <x:c r="A56" s="173" t="n">
        <x:v>46</x:v>
      </x:c>
      <x:c r="B56" s="174" t="str">
        <x:v>PBL6_R3_PaymentIdempotency.postman_collection</x:v>
      </x:c>
      <x:c r="C56" s="173" t="n">
        <x:v>5</x:v>
      </x:c>
      <x:c r="D56" s="173" t="n">
        <x:v>0</x:v>
      </x:c>
      <x:c r="E56" s="173" t="n">
        <x:v>5</x:v>
      </x:c>
      <x:c r="F56" s="173" t="n">
        <x:v>1</x:v>
      </x:c>
      <x:c r="G56" s="173" t="n">
        <x:v>5.207</x:v>
      </x:c>
      <x:c r="H56" s="175" t="str">
        <x:v>logs/PBL6_R3_PaymentIdempotency.postman_collection.log</x:v>
      </x:c>
      <x:c r="I56" s="175" t="str">
        <x:v>junit/PBL6_R3_PaymentIdempotency.postman_collection.xml</x:v>
      </x:c>
    </x:row>
    <x:row r="57">
      <x:c r="A57" s="173" t="n">
        <x:v>47</x:v>
      </x:c>
      <x:c r="B57" s="174" t="str">
        <x:v>PBL6_R3_PaymentIntent.postman_collection</x:v>
      </x:c>
      <x:c r="C57" s="173" t="n">
        <x:v>1</x:v>
      </x:c>
      <x:c r="D57" s="173" t="n">
        <x:v>0</x:v>
      </x:c>
      <x:c r="E57" s="173" t="n">
        <x:v>1</x:v>
      </x:c>
      <x:c r="F57" s="173" t="n">
        <x:v>1</x:v>
      </x:c>
      <x:c r="G57" s="173" t="n">
        <x:v>3.691</x:v>
      </x:c>
      <x:c r="H57" s="175" t="str">
        <x:v>logs/PBL6_R3_PaymentIntent.postman_collection.log</x:v>
      </x:c>
      <x:c r="I57" s="175" t="str">
        <x:v>junit/PBL6_R3_PaymentIntent.postman_collection.xml</x:v>
      </x:c>
    </x:row>
    <x:row r="58">
      <x:c r="A58" s="173" t="n">
        <x:v>48</x:v>
      </x:c>
      <x:c r="B58" s="174" t="str">
        <x:v>PBL6_R3_PaymentReadback.postman_collection</x:v>
      </x:c>
      <x:c r="C58" s="173" t="n">
        <x:v>0</x:v>
      </x:c>
      <x:c r="D58" s="173" t="n">
        <x:v>0</x:v>
      </x:c>
      <x:c r="E58" s="173" t="n">
        <x:v>0</x:v>
      </x:c>
      <x:c r="F58" s="173" t="n">
        <x:v>1</x:v>
      </x:c>
      <x:c r="G58" s="173" t="n">
        <x:v>1.943</x:v>
      </x:c>
      <x:c r="H58" s="175" t="str">
        <x:v>logs/PBL6_R3_PaymentReadback.postman_collection.log</x:v>
      </x:c>
      <x:c r="I58" s="175" t="str">
        <x:v>junit/PBL6_R3_PaymentReadback.postman_collection.xml</x:v>
      </x:c>
    </x:row>
    <x:row r="59">
      <x:c r="A59" s="173" t="n">
        <x:v>49</x:v>
      </x:c>
      <x:c r="B59" s="174" t="str">
        <x:v>PBL6_R3_ProfileEmail.postman_collection</x:v>
      </x:c>
      <x:c r="C59" s="173" t="n">
        <x:v>7</x:v>
      </x:c>
      <x:c r="D59" s="173" t="n">
        <x:v>7</x:v>
      </x:c>
      <x:c r="E59" s="173" t="n">
        <x:v>0</x:v>
      </x:c>
      <x:c r="F59" s="173" t="n">
        <x:v>0</x:v>
      </x:c>
      <x:c r="G59" s="173" t="n">
        <x:v>2.158</x:v>
      </x:c>
      <x:c r="H59" s="175" t="str">
        <x:v>logs/PBL6_R3_ProfileEmail.postman_collection.log</x:v>
      </x:c>
      <x:c r="I59" s="175" t="str">
        <x:v>junit/PBL6_R3_ProfileEmail.postman_collection.xml</x:v>
      </x:c>
    </x:row>
    <x:row r="60">
      <x:c r="A60" s="173" t="n">
        <x:v>50</x:v>
      </x:c>
      <x:c r="B60" s="174" t="str">
        <x:v>PBL6_R3_ReadSyntheticTrip.postman_collection</x:v>
      </x:c>
      <x:c r="C60" s="173" t="n">
        <x:v>0</x:v>
      </x:c>
      <x:c r="D60" s="173" t="n">
        <x:v>0</x:v>
      </x:c>
      <x:c r="E60" s="173" t="n">
        <x:v>0</x:v>
      </x:c>
      <x:c r="F60" s="173" t="n">
        <x:v>0</x:v>
      </x:c>
      <x:c r="G60" s="173" t="n">
        <x:v>2.078</x:v>
      </x:c>
      <x:c r="H60" s="175" t="str">
        <x:v>logs/PBL6_R3_ReadSyntheticTrip.postman_collection.log</x:v>
      </x:c>
      <x:c r="I60" s="175" t="str">
        <x:v>junit/PBL6_R3_ReadSyntheticTrip.postman_collection.xml</x:v>
      </x:c>
    </x:row>
    <x:row r="61">
      <x:c r="A61" s="173" t="n">
        <x:v>51</x:v>
      </x:c>
      <x:c r="B61" s="174" t="str">
        <x:v>PBL6_R3_ReadTripSevenSeats.postman_collection</x:v>
      </x:c>
      <x:c r="C61" s="173" t="n">
        <x:v>0</x:v>
      </x:c>
      <x:c r="D61" s="173" t="n">
        <x:v>0</x:v>
      </x:c>
      <x:c r="E61" s="173" t="n">
        <x:v>0</x:v>
      </x:c>
      <x:c r="F61" s="173" t="n">
        <x:v>1</x:v>
      </x:c>
      <x:c r="G61" s="173" t="n">
        <x:v>2.102</x:v>
      </x:c>
      <x:c r="H61" s="175" t="str">
        <x:v>logs/PBL6_R3_ReadTripSevenSeats.postman_collection.log</x:v>
      </x:c>
      <x:c r="I61" s="175" t="str">
        <x:v>junit/PBL6_R3_ReadTripSevenSeats.postman_collection.xml</x:v>
      </x:c>
    </x:row>
    <x:row r="62">
      <x:c r="A62" s="173" t="n">
        <x:v>52</x:v>
      </x:c>
      <x:c r="B62" s="174" t="str">
        <x:v>PBL6_R3_ReportReadback.postman_collection</x:v>
      </x:c>
      <x:c r="C62" s="173" t="n">
        <x:v>0</x:v>
      </x:c>
      <x:c r="D62" s="173" t="n">
        <x:v>0</x:v>
      </x:c>
      <x:c r="E62" s="173" t="n">
        <x:v>0</x:v>
      </x:c>
      <x:c r="F62" s="173" t="n">
        <x:v>0</x:v>
      </x:c>
      <x:c r="G62" s="173" t="n">
        <x:v>2.879</x:v>
      </x:c>
      <x:c r="H62" s="175" t="str">
        <x:v>logs/PBL6_R3_ReportReadback.postman_collection.log</x:v>
      </x:c>
      <x:c r="I62" s="175" t="str">
        <x:v>junit/PBL6_R3_ReportReadback.postman_collection.xml</x:v>
      </x:c>
    </x:row>
    <x:row r="63">
      <x:c r="A63" s="173" t="n">
        <x:v>53</x:v>
      </x:c>
      <x:c r="B63" s="174" t="str">
        <x:v>PBL6_R3_Resource_Readback.postman_collection</x:v>
      </x:c>
      <x:c r="C63" s="173" t="n">
        <x:v>0</x:v>
      </x:c>
      <x:c r="D63" s="173" t="n">
        <x:v>0</x:v>
      </x:c>
      <x:c r="E63" s="173" t="n">
        <x:v>0</x:v>
      </x:c>
      <x:c r="F63" s="173" t="n">
        <x:v>0</x:v>
      </x:c>
      <x:c r="G63" s="173" t="n">
        <x:v>1.981</x:v>
      </x:c>
      <x:c r="H63" s="175" t="str">
        <x:v>logs/PBL6_R3_Resource_Readback.postman_collection.log</x:v>
      </x:c>
      <x:c r="I63" s="175" t="str">
        <x:v>junit/PBL6_R3_Resource_Readback.postman_collection.xml</x:v>
      </x:c>
    </x:row>
    <x:row r="64">
      <x:c r="A64" s="173" t="n">
        <x:v>54</x:v>
      </x:c>
      <x:c r="B64" s="174" t="str">
        <x:v>PBL6_R3_SearchLimit.postman_collection</x:v>
      </x:c>
      <x:c r="C64" s="173" t="n">
        <x:v>1</x:v>
      </x:c>
      <x:c r="D64" s="173" t="n">
        <x:v>1</x:v>
      </x:c>
      <x:c r="E64" s="173" t="n">
        <x:v>0</x:v>
      </x:c>
      <x:c r="F64" s="173" t="n">
        <x:v>0</x:v>
      </x:c>
      <x:c r="G64" s="173" t="n">
        <x:v>2.153</x:v>
      </x:c>
      <x:c r="H64" s="175" t="str">
        <x:v>logs/PBL6_R3_SearchLimit.postman_collection.log</x:v>
      </x:c>
      <x:c r="I64" s="175" t="str">
        <x:v>junit/PBL6_R3_SearchLimit.postman_collection.xml</x:v>
      </x:c>
    </x:row>
    <x:row r="65">
      <x:c r="A65" s="173" t="n">
        <x:v>55</x:v>
      </x:c>
      <x:c r="B65" s="174" t="str">
        <x:v>PBL6_R3_SearchNotSellable.postman_collection</x:v>
      </x:c>
      <x:c r="C65" s="173" t="n">
        <x:v>1</x:v>
      </x:c>
      <x:c r="D65" s="173" t="n">
        <x:v>1</x:v>
      </x:c>
      <x:c r="E65" s="173" t="n">
        <x:v>0</x:v>
      </x:c>
      <x:c r="F65" s="173" t="n">
        <x:v>0</x:v>
      </x:c>
      <x:c r="G65" s="173" t="n">
        <x:v>2.186</x:v>
      </x:c>
      <x:c r="H65" s="175" t="str">
        <x:v>logs/PBL6_R3_SearchNotSellable.postman_collection.log</x:v>
      </x:c>
      <x:c r="I65" s="175" t="str">
        <x:v>junit/PBL6_R3_SearchNotSellable.postman_collection.xml</x:v>
      </x:c>
    </x:row>
    <x:row r="66">
      <x:c r="A66" s="173" t="n">
        <x:v>56</x:v>
      </x:c>
      <x:c r="B66" s="174" t="str">
        <x:v>PBL6_R3_SeatReadback.postman_collection</x:v>
      </x:c>
      <x:c r="C66" s="173" t="n">
        <x:v>0</x:v>
      </x:c>
      <x:c r="D66" s="173" t="n">
        <x:v>0</x:v>
      </x:c>
      <x:c r="E66" s="173" t="n">
        <x:v>0</x:v>
      </x:c>
      <x:c r="F66" s="173" t="n">
        <x:v>1</x:v>
      </x:c>
      <x:c r="G66" s="173" t="n">
        <x:v>2.685</x:v>
      </x:c>
      <x:c r="H66" s="175" t="str">
        <x:v>logs/PBL6_R3_SeatReadback.postman_collection.log</x:v>
      </x:c>
      <x:c r="I66" s="175" t="str">
        <x:v>junit/PBL6_R3_SeatReadback.postman_collection.xml</x:v>
      </x:c>
    </x:row>
    <x:row r="67">
      <x:c r="A67" s="173" t="n">
        <x:v>57</x:v>
      </x:c>
      <x:c r="B67" s="174" t="str">
        <x:v>PBL6_R3_SecurityRateInjection.postman_collection</x:v>
      </x:c>
      <x:c r="C67" s="173" t="n">
        <x:v>16</x:v>
      </x:c>
      <x:c r="D67" s="173" t="n">
        <x:v>16</x:v>
      </x:c>
      <x:c r="E67" s="173" t="n">
        <x:v>0</x:v>
      </x:c>
      <x:c r="F67" s="173" t="n">
        <x:v>0</x:v>
      </x:c>
      <x:c r="G67" s="173" t="n">
        <x:v>3.062</x:v>
      </x:c>
      <x:c r="H67" s="175" t="str">
        <x:v>logs/PBL6_R3_SecurityRateInjection.postman_collection.log</x:v>
      </x:c>
      <x:c r="I67" s="175" t="str">
        <x:v>junit/PBL6_R3_SecurityRateInjection.postman_collection.xml</x:v>
      </x:c>
    </x:row>
    <x:row r="68">
      <x:c r="A68" s="173" t="n">
        <x:v>58</x:v>
      </x:c>
      <x:c r="B68" s="174" t="str">
        <x:v>PBL6_R3_TicketCheckin.postman_collection</x:v>
      </x:c>
      <x:c r="C68" s="173" t="n">
        <x:v>5</x:v>
      </x:c>
      <x:c r="D68" s="173" t="n">
        <x:v>0</x:v>
      </x:c>
      <x:c r="E68" s="173" t="n">
        <x:v>5</x:v>
      </x:c>
      <x:c r="F68" s="173" t="n">
        <x:v>1</x:v>
      </x:c>
      <x:c r="G68" s="173" t="n">
        <x:v>2.279</x:v>
      </x:c>
      <x:c r="H68" s="175" t="str">
        <x:v>logs/PBL6_R3_TicketCheckin.postman_collection.log</x:v>
      </x:c>
      <x:c r="I68" s="175" t="str">
        <x:v>junit/PBL6_R3_TicketCheckin.postman_collection.xml</x:v>
      </x:c>
    </x:row>
    <x:row r="69">
      <x:c r="A69" s="173" t="n">
        <x:v>59</x:v>
      </x:c>
      <x:c r="B69" s="174" t="str">
        <x:v>PBL6_R3_TKT08_CancelledTripScan.postman_collection</x:v>
      </x:c>
      <x:c r="C69" s="173" t="n">
        <x:v>1</x:v>
      </x:c>
      <x:c r="D69" s="173" t="n">
        <x:v>0</x:v>
      </x:c>
      <x:c r="E69" s="173" t="n">
        <x:v>1</x:v>
      </x:c>
      <x:c r="F69" s="173" t="n">
        <x:v>1</x:v>
      </x:c>
      <x:c r="G69" s="173" t="n">
        <x:v>2.134</x:v>
      </x:c>
      <x:c r="H69" s="175" t="str">
        <x:v>logs/PBL6_R3_TKT08_CancelledTripScan.postman_collection.log</x:v>
      </x:c>
      <x:c r="I69" s="175" t="str">
        <x:v>junit/PBL6_R3_TKT08_CancelledTripScan.postman_collection.xml</x:v>
      </x:c>
    </x:row>
    <x:row r="70">
      <x:c r="A70" s="173" t="n">
        <x:v>60</x:v>
      </x:c>
      <x:c r="B70" s="174" t="str">
        <x:v>PBL6_R3_TKT09_CustomerCheckin.postman_collection</x:v>
      </x:c>
      <x:c r="C70" s="173" t="n">
        <x:v>1</x:v>
      </x:c>
      <x:c r="D70" s="173" t="n">
        <x:v>1</x:v>
      </x:c>
      <x:c r="E70" s="173" t="n">
        <x:v>0</x:v>
      </x:c>
      <x:c r="F70" s="173" t="n">
        <x:v>0</x:v>
      </x:c>
      <x:c r="G70" s="173" t="n">
        <x:v>2.147</x:v>
      </x:c>
      <x:c r="H70" s="175" t="str">
        <x:v>logs/PBL6_R3_TKT09_CustomerCheckin.postman_collection.log</x:v>
      </x:c>
      <x:c r="I70" s="175" t="str">
        <x:v>junit/PBL6_R3_TKT09_CustomerCheckin.postman_collection.xml</x:v>
      </x:c>
    </x:row>
    <x:row r="71">
      <x:c r="A71" s="173" t="n">
        <x:v>61</x:v>
      </x:c>
      <x:c r="B71" s="174" t="str">
        <x:v>PBL6_R3_Transport.postman_collection</x:v>
      </x:c>
      <x:c r="C71" s="173" t="n">
        <x:v>7</x:v>
      </x:c>
      <x:c r="D71" s="173" t="n">
        <x:v>7</x:v>
      </x:c>
      <x:c r="E71" s="173" t="n">
        <x:v>0</x:v>
      </x:c>
      <x:c r="F71" s="173" t="n">
        <x:v>0</x:v>
      </x:c>
      <x:c r="G71" s="173" t="n">
        <x:v>2.328</x:v>
      </x:c>
      <x:c r="H71" s="175" t="str">
        <x:v>logs/PBL6_R3_Transport.postman_collection.log</x:v>
      </x:c>
      <x:c r="I71" s="175" t="str">
        <x:v>junit/PBL6_R3_Transport.postman_collection.xml</x:v>
      </x:c>
    </x:row>
    <x:row r="72">
      <x:c r="A72" s="173" t="n">
        <x:v>62</x:v>
      </x:c>
      <x:c r="B72" s="174" t="str">
        <x:v>PBL6_R3_TRIP10_Manifest.postman_collection</x:v>
      </x:c>
      <x:c r="C72" s="173" t="n">
        <x:v>1</x:v>
      </x:c>
      <x:c r="D72" s="173" t="n">
        <x:v>0</x:v>
      </x:c>
      <x:c r="E72" s="173" t="n">
        <x:v>1</x:v>
      </x:c>
      <x:c r="F72" s="173" t="n">
        <x:v>1</x:v>
      </x:c>
      <x:c r="G72" s="173" t="n">
        <x:v>1.936</x:v>
      </x:c>
      <x:c r="H72" s="175" t="str">
        <x:v>logs/PBL6_R3_TRIP10_Manifest.postman_collection.log</x:v>
      </x:c>
      <x:c r="I72" s="175" t="str">
        <x:v>junit/PBL6_R3_TRIP10_Manifest.postman_collection.xml</x:v>
      </x:c>
    </x:row>
    <x:row r="73">
      <x:c r="A73" s="173" t="n">
        <x:v>63</x:v>
      </x:c>
      <x:c r="B73" s="174" t="str">
        <x:v>PBL6_R3_TRIP12_CancelSoldTrip.postman_collection</x:v>
      </x:c>
      <x:c r="C73" s="173" t="n">
        <x:v>1</x:v>
      </x:c>
      <x:c r="D73" s="173" t="n">
        <x:v>0</x:v>
      </x:c>
      <x:c r="E73" s="173" t="n">
        <x:v>1</x:v>
      </x:c>
      <x:c r="F73" s="173" t="n">
        <x:v>1</x:v>
      </x:c>
      <x:c r="G73" s="173" t="n">
        <x:v>2.027</x:v>
      </x:c>
      <x:c r="H73" s="175" t="str">
        <x:v>logs/PBL6_R3_TRIP12_CancelSoldTrip.postman_collection.log</x:v>
      </x:c>
      <x:c r="I73" s="175" t="str">
        <x:v>junit/PBL6_R3_TRIP12_CancelSoldTrip.postman_collection.xml</x:v>
      </x:c>
    </x:row>
    <x:row r="74">
      <x:c r="A74" s="173" t="n">
        <x:v>64</x:v>
      </x:c>
      <x:c r="B74" s="174" t="str">
        <x:v>PBL6_R3_TRIP12_SoldTripReadback.postman_collection</x:v>
      </x:c>
      <x:c r="C74" s="173" t="n">
        <x:v>0</x:v>
      </x:c>
      <x:c r="D74" s="173" t="n">
        <x:v>0</x:v>
      </x:c>
      <x:c r="E74" s="173" t="n">
        <x:v>0</x:v>
      </x:c>
      <x:c r="F74" s="173" t="n">
        <x:v>0</x:v>
      </x:c>
      <x:c r="G74" s="173" t="n">
        <x:v>1.938</x:v>
      </x:c>
      <x:c r="H74" s="175" t="str">
        <x:v>logs/PBL6_R3_TRIP12_SoldTripReadback.postman_collection.log</x:v>
      </x:c>
      <x:c r="I74" s="175" t="str">
        <x:v>junit/PBL6_R3_TRIP12_SoldTripReadback.postman_collection.xml</x:v>
      </x:c>
    </x:row>
    <x:row r="75">
      <x:c r="A75" s="173" t="n">
        <x:v>65</x:v>
      </x:c>
      <x:c r="B75" s="174" t="str">
        <x:v>PBL6_R3_TripCancel.postman_collection</x:v>
      </x:c>
      <x:c r="C75" s="173" t="n">
        <x:v>5</x:v>
      </x:c>
      <x:c r="D75" s="173" t="n">
        <x:v>5</x:v>
      </x:c>
      <x:c r="E75" s="173" t="n">
        <x:v>0</x:v>
      </x:c>
      <x:c r="F75" s="173" t="n">
        <x:v>0</x:v>
      </x:c>
      <x:c r="G75" s="173" t="n">
        <x:v>2.101</x:v>
      </x:c>
      <x:c r="H75" s="175" t="str">
        <x:v>logs/PBL6_R3_TripCancel.postman_collection.log</x:v>
      </x:c>
      <x:c r="I75" s="175" t="str">
        <x:v>junit/PBL6_R3_TripCancel.postman_collection.xml</x:v>
      </x:c>
    </x:row>
    <x:row r="76">
      <x:c r="A76" s="173" t="n">
        <x:v>66</x:v>
      </x:c>
      <x:c r="B76" s="174" t="str">
        <x:v>PBL6_R3_TripReadback.postman_collection</x:v>
      </x:c>
      <x:c r="C76" s="173" t="n">
        <x:v>0</x:v>
      </x:c>
      <x:c r="D76" s="173" t="n">
        <x:v>0</x:v>
      </x:c>
      <x:c r="E76" s="173" t="n">
        <x:v>0</x:v>
      </x:c>
      <x:c r="F76" s="173" t="n">
        <x:v>1</x:v>
      </x:c>
      <x:c r="G76" s="173" t="n">
        <x:v>1.822</x:v>
      </x:c>
      <x:c r="H76" s="175" t="str">
        <x:v>logs/PBL6_R3_TripReadback.postman_collection.log</x:v>
      </x:c>
      <x:c r="I76" s="175" t="str">
        <x:v>junit/PBL6_R3_TripReadback.postman_collection.xml</x:v>
      </x:c>
    </x:row>
    <x:row r="77">
      <x:c r="A77" s="173" t="n">
        <x:v>67</x:v>
      </x:c>
      <x:c r="B77" s="174" t="str">
        <x:v>PBL6_R3_Trips.postman_collection</x:v>
      </x:c>
      <x:c r="C77" s="173" t="n">
        <x:v>5</x:v>
      </x:c>
      <x:c r="D77" s="173" t="n">
        <x:v>4</x:v>
      </x:c>
      <x:c r="E77" s="173" t="n">
        <x:v>1</x:v>
      </x:c>
      <x:c r="F77" s="173" t="n">
        <x:v>1</x:v>
      </x:c>
      <x:c r="G77" s="173" t="n">
        <x:v>2.071</x:v>
      </x:c>
      <x:c r="H77" s="175" t="str">
        <x:v>logs/PBL6_R3_Trips.postman_collection.log</x:v>
      </x:c>
      <x:c r="I77" s="175" t="str">
        <x:v>junit/PBL6_R3_Trips.postman_collection.xml</x:v>
      </x:c>
    </x:row>
    <x:row r="78">
      <x:c r="A78" s="173" t="n">
        <x:v>68</x:v>
      </x:c>
      <x:c r="B78" s="174" t="str">
        <x:v>PBL6_R3_TripState.postman_collection</x:v>
      </x:c>
      <x:c r="C78" s="173" t="n">
        <x:v>8</x:v>
      </x:c>
      <x:c r="D78" s="173" t="n">
        <x:v>8</x:v>
      </x:c>
      <x:c r="E78" s="173" t="n">
        <x:v>0</x:v>
      </x:c>
      <x:c r="F78" s="173" t="n">
        <x:v>0</x:v>
      </x:c>
      <x:c r="G78" s="173" t="n">
        <x:v>2.401</x:v>
      </x:c>
      <x:c r="H78" s="175" t="str">
        <x:v>logs/PBL6_R3_TripState.postman_collection.log</x:v>
      </x:c>
      <x:c r="I78" s="175" t="str">
        <x:v>junit/PBL6_R3_TripState.postman_collection.xml</x:v>
      </x:c>
    </x:row>
    <x:row r="79">
      <x:c r="A79" s="173" t="n">
        <x:v>69</x:v>
      </x:c>
      <x:c r="B79" s="174" t="str">
        <x:v>PBL6_R3_UnknownTicket.postman_collection</x:v>
      </x:c>
      <x:c r="C79" s="173" t="n">
        <x:v>1</x:v>
      </x:c>
      <x:c r="D79" s="173" t="n">
        <x:v>1</x:v>
      </x:c>
      <x:c r="E79" s="173" t="n">
        <x:v>0</x:v>
      </x:c>
      <x:c r="F79" s="173" t="n">
        <x:v>0</x:v>
      </x:c>
      <x:c r="G79" s="173" t="n">
        <x:v>1.799</x:v>
      </x:c>
      <x:c r="H79" s="175" t="str">
        <x:v>logs/PBL6_R3_UnknownTicket.postman_collection.log</x:v>
      </x:c>
      <x:c r="I79" s="175" t="str">
        <x:v>junit/PBL6_R3_UnknownTicket.postman_collection.xml</x:v>
      </x:c>
    </x:row>
    <x:row r="80">
      <x:c r="A80" s="173" t="n">
        <x:v>70</x:v>
      </x:c>
      <x:c r="B80" s="174" t="str">
        <x:v>PBL6_REP02_ReadOnly_Smoke.postman_collection</x:v>
      </x:c>
      <x:c r="C80" s="173" t="n">
        <x:v>3</x:v>
      </x:c>
      <x:c r="D80" s="173" t="n">
        <x:v>3</x:v>
      </x:c>
      <x:c r="E80" s="173" t="n">
        <x:v>0</x:v>
      </x:c>
      <x:c r="F80" s="173" t="n">
        <x:v>0</x:v>
      </x:c>
      <x:c r="G80" s="173" t="n">
        <x:v>1.803</x:v>
      </x:c>
      <x:c r="H80" s="175" t="str">
        <x:v>logs/PBL6_REP02_ReadOnly_Smoke.postman_collection.log</x:v>
      </x:c>
      <x:c r="I80" s="175" t="str">
        <x:v>junit/PBL6_REP02_ReadOnly_Smoke.postman_collection.xml</x:v>
      </x:c>
    </x:row>
    <x:row r="81">
      <x:c r="A81" s="173" t="n">
        <x:v>71</x:v>
      </x:c>
      <x:c r="B81" s="174" t="str">
        <x:v>PBL6_SEC01_Protected_Endpoint_Matrix.postman_collection</x:v>
      </x:c>
      <x:c r="C81" s="173" t="n">
        <x:v>68</x:v>
      </x:c>
      <x:c r="D81" s="173" t="n">
        <x:v>66</x:v>
      </x:c>
      <x:c r="E81" s="173" t="n">
        <x:v>2</x:v>
      </x:c>
      <x:c r="F81" s="173" t="n">
        <x:v>1</x:v>
      </x:c>
      <x:c r="G81" s="173" t="n">
        <x:v>3.223</x:v>
      </x:c>
      <x:c r="H81" s="175" t="str">
        <x:v>logs/PBL6_SEC01_Protected_Endpoint_Matrix.postman_collection.log</x:v>
      </x:c>
      <x:c r="I81" s="175" t="str">
        <x:v>junit/PBL6_SEC01_Protected_Endpoint_Matrix.postman_collection.xml</x:v>
      </x:c>
    </x:row>
    <x:row r="82">
      <x:c r="A82" s="173" t="n">
        <x:v>72</x:v>
      </x:c>
      <x:c r="B82" s="174" t="str">
        <x:v>PBL6_Workbook_API_Verification.postman_collection</x:v>
      </x:c>
      <x:c r="C82" s="173" t="n">
        <x:v>108</x:v>
      </x:c>
      <x:c r="D82" s="173" t="n">
        <x:v>108</x:v>
      </x:c>
      <x:c r="E82" s="173" t="n">
        <x:v>0</x:v>
      </x:c>
      <x:c r="F82" s="173" t="n">
        <x:v>0</x:v>
      </x:c>
      <x:c r="G82" s="173" t="n">
        <x:v>7.582</x:v>
      </x:c>
      <x:c r="H82" s="175" t="str">
        <x:v>logs/PBL6_Workbook_API_Verification.postman_collection.log</x:v>
      </x:c>
      <x:c r="I82" s="175" t="str">
        <x:v>junit/PBL6_Workbook_API_Verification.postman_collection.xml</x:v>
      </x:c>
    </x:row>
  </x:sheetData>
  <x:mergeCells>
    <x:mergeCell ref="A1:I1"/>
    <x:mergeCell ref="A7:I7"/>
  </x:mergeCells>
  <x:pageMargins left="0.7" right="0.7" top="0.75" bottom="0.75" header="0.3" footer="0.3"/>
</x:worksheet>
</file>